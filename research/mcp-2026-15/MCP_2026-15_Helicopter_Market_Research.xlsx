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nnual Trends" sheetId="2" state="visible" r:id="rId4"/>
    <sheet name="Purchases" sheetId="3" state="visible" r:id="rId5"/>
    <sheet name="CBP Orders" sheetId="4" state="visible" r:id="rId6"/>
    <sheet name="Contract Sales" sheetId="5" state="visible" r:id="rId7"/>
    <sheet name="Buyers &amp; Competition" sheetId="6" state="visible" r:id="rId8"/>
    <sheet name="Adjacent Spend" sheetId="7" state="visible" r:id="rId9"/>
    <sheet name="Projection" sheetId="8" state="visible" r:id="rId10"/>
    <sheet name="Claims Check" sheetId="9" state="visible" r:id="rId11"/>
    <sheet name="Gaps &amp; 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<sst xmlns="http://schemas.openxmlformats.org/spreadsheetml/2006/main" count="956" uniqueCount="476">
  <si>
    <t xml:space="preserve">MCP 2026-15 Market Research: Rotary-Wing Aircraft SIN</t>
  </si>
  <si>
    <t xml:space="preserve">Federal contract data FY2016-FY2026 (USAspending) and contract sales FY2020-FY2026 Q2 (SSQ+). Prepared Oct 2026. Every number below is a formula over the data tabs.</t>
  </si>
  <si>
    <t xml:space="preserve">Bottom line</t>
  </si>
  <si>
    <t xml:space="preserve">Helicopters never left MAS. CBP has bought every Light Enforcement Helicopter since 2018 through GS-07F-139DA, state and local buyers account for a fifth or more of the contract's sales, and the aircraft have been sold under SINs not written for them, including after Refresh 26 excluded them. A dedicated SIN is the right fix, on three conditions: configured aircraft in scope, Cooperative Purchasing eligibility, and a second manufacturer (realistically a Bell dealer).</t>
  </si>
  <si>
    <t xml:space="preserve">Key number</t>
  </si>
  <si>
    <t xml:space="preserve">Value</t>
  </si>
  <si>
    <t xml:space="preserve">Basis</t>
  </si>
  <si>
    <t xml:space="preserve">Civilian helicopter purchases, FY2016-FY2026</t>
  </si>
  <si>
    <t xml:space="preserve">20 awards, 11 buying organizations; complete aircraft only</t>
  </si>
  <si>
    <t xml:space="preserve">Average purchases per year</t>
  </si>
  <si>
    <t xml:space="preserve">Median is nearly identical; three years had no purchases</t>
  </si>
  <si>
    <t xml:space="preserve">CBP share of purchase dollars</t>
  </si>
  <si>
    <t xml:space="preserve">The draft's 'about 70 percent' holds on aircraft, not dollars</t>
  </si>
  <si>
    <t xml:space="preserve">CBP share of aircraft (known counts)</t>
  </si>
  <si>
    <t xml:space="preserve">42 of 60 aircraft whose counts FPDS states</t>
  </si>
  <si>
    <t xml:space="preserve">Share of purchase dollars through MAS</t>
  </si>
  <si>
    <t xml:space="preserve">All of it one dealer, Davenport Aviation (Airbus)</t>
  </si>
  <si>
    <t xml:space="preserve">CBP aircraft ordered on MAS since 2018</t>
  </si>
  <si>
    <t xml:space="preserve">Five orders; every CBP helicopter purchase in the period</t>
  </si>
  <si>
    <t xml:space="preserve">CBP price per aircraft, first order (Jul 2018)</t>
  </si>
  <si>
    <t xml:space="preserve">Configured H125</t>
  </si>
  <si>
    <t xml:space="preserve">CBP price per aircraft, latest order (May 2026)</t>
  </si>
  <si>
    <t xml:space="preserve">About 5% a year; crosses the proposed $10M maximum order on the next buy</t>
  </si>
  <si>
    <t xml:space="preserve">Configuration share of price</t>
  </si>
  <si>
    <t xml:space="preserve">Lightly equipped FWS H125 vs. CBP configured H125, 2022. Includes third-party FLIR and Troll equipment</t>
  </si>
  <si>
    <t xml:space="preserve">Offers on CBP's five MAS orders</t>
  </si>
  <si>
    <t xml:space="preserve">1, 1, 1, 1, 2</t>
  </si>
  <si>
    <t xml:space="preserve">Brand-name, small-business set-aside; the May 2026 order drew two</t>
  </si>
  <si>
    <t xml:space="preserve">Bell share of non-CBP purchases</t>
  </si>
  <si>
    <t xml:space="preserve">All off-schedule: FBI and DEA IDIQs, Park Police open market (not competed)</t>
  </si>
  <si>
    <t xml:space="preserve">Contract sales, FY2020-FY2026 Q2</t>
  </si>
  <si>
    <t xml:space="preserve">SSQ+, all SINs, GS-07F-139DA</t>
  </si>
  <si>
    <t xml:space="preserve">State/local share of contract sales (low reading)</t>
  </si>
  <si>
    <t xml:space="preserve">Treats FY2025-26 state/local sales as misreported CBP deliveries</t>
  </si>
  <si>
    <t xml:space="preserve">State/local share of contract sales (as reported)</t>
  </si>
  <si>
    <t xml:space="preserve">Either reading contradicts GSS's 'limited'</t>
  </si>
  <si>
    <t xml:space="preserve">Sales on SIN 336413 after the Refresh 26 exclusion</t>
  </si>
  <si>
    <t xml:space="preserve">Plus CBP orders of $17.6M (Sep 2025) and $95.5M (May 2026)</t>
  </si>
  <si>
    <t xml:space="preserve">IFF actually collected on contract sales</t>
  </si>
  <si>
    <t xml:space="preserve">0.75% of SSQ+ sales, FY2020-FY2026 Q2</t>
  </si>
  <si>
    <t xml:space="preserve">Civilian adjacent spend (parts, repair, services)</t>
  </si>
  <si>
    <t xml:space="preserve">Floor; Coast Guard is 97% of parts</t>
  </si>
  <si>
    <t xml:space="preserve">Purchases as share of civilian rotary-wing contract spend</t>
  </si>
  <si>
    <t xml:space="preserve">A purchase SIN reaches about a third at most</t>
  </si>
  <si>
    <t xml:space="preserve">Projected volume, year 1 / year 5</t>
  </si>
  <si>
    <t xml:space="preserve">Year 5 in the next row; change package projects $50M rising to $103M</t>
  </si>
  <si>
    <t xml:space="preserve">Year 5 with a Bell dealer from year 3</t>
  </si>
  <si>
    <t xml:space="preserve">Projected IFF, year 1 / year 5</t>
  </si>
  <si>
    <t xml:space="preserve">Key findings</t>
  </si>
  <si>
    <t xml:space="preserve">1. CBP has bought every Light Enforcement Helicopter since 2018 on GS-07F-139DA: five orders, 42 aircraft. GSS recommended moving off MAS a customer that had used nothing else for seven years, and CBP placed another order the same month.</t>
  </si>
  <si>
    <t xml:space="preserve">2. The 70% CBP figure holds on aircraft counts (70%) and nearly on dollars (63%). Say 'about two-thirds.'</t>
  </si>
  <si>
    <t xml:space="preserve">3. State and local demand is not limited: 22-38% of the contract's sales, $10M-$17M a year. The channel began in 2017 at state and local request.</t>
  </si>
  <si>
    <t xml:space="preserve">4. The aircraft have never had a SIN written for them: sales ran under legacy 567-99, SIN 332216 (law enforcement tools), and SIN 336413, including $39M after Refresh 26 excluded complete aircraft. The authorizing document for the temporary accommodation was not located.</t>
  </si>
  <si>
    <t xml:space="preserve">5. Configuration is about a third of CBP's price and includes third-party equipment (FLIR, Troll). A Phase 1 SIN without mission-system integration cannot carry CBP's next order.</t>
  </si>
  <si>
    <t xml:space="preserve">6. Outside CBP, Bell won 61% of civilian purchases, all off-schedule. Growth beyond CBP depends on a Bell dealer joining the SIN.</t>
  </si>
  <si>
    <t xml:space="preserve">7. Federal civilian demand is about $46M a year, half the change package's $100M assumption. Actual contract sales of ~$45M a year support the package's year-1 figure but not growth to $103M.</t>
  </si>
  <si>
    <t xml:space="preserve">8. No evidence that open-market buying would beat MAS for CBP: no open-market configured H125 exists to compare, and the latest MAS order drew two bids.</t>
  </si>
  <si>
    <t xml:space="preserve">Recommendation</t>
  </si>
  <si>
    <t xml:space="preserve">Establish the dedicated SIN (Alternative C), conditioned on:</t>
  </si>
  <si>
    <t xml:space="preserve">  a. Dealer-installed mission equipment delivered with the aircraft in Phase 1 scope, priced as listed options.</t>
  </si>
  <si>
    <t xml:space="preserve">  b. Cooperative Purchasing and 1122 eligibility, confirmed by OGC before the SIN text is final.</t>
  </si>
  <si>
    <t xml:space="preserve">  c. Outreach to Bell dealers as part of launch; without a second manufacturer the SIN is one dealer serving one customer.</t>
  </si>
  <si>
    <t xml:space="preserve">  d. Maximum order raised to $15M, and the temporary accommodation documented by the PMO before approval.</t>
  </si>
  <si>
    <t xml:space="preserve">Not available for this analysis (see Gaps &amp; Sources)</t>
  </si>
  <si>
    <t xml:space="preserve">Temporary-accommodation document and effective date</t>
  </si>
  <si>
    <t xml:space="preserve">Davenport confirmation of FY2025-26 customer split</t>
  </si>
  <si>
    <t xml:space="preserve">FAIRS helicopter ages; LESO/1033 holdings; full eLibrary SIN listing; GSS memo's supporting data</t>
  </si>
  <si>
    <t xml:space="preserve">Tabs</t>
  </si>
  <si>
    <t xml:space="preserve">Annual Trends</t>
  </si>
  <si>
    <t xml:space="preserve">Purchases, MAS obligations, contract sales, and adjacent spend by fiscal year, with charts</t>
  </si>
  <si>
    <t xml:space="preserve">Purchases</t>
  </si>
  <si>
    <t xml:space="preserve">The 20 civilian helicopter purchases, FY2016-FY2026, with source awards</t>
  </si>
  <si>
    <t xml:space="preserve">CBP Orders</t>
  </si>
  <si>
    <t xml:space="preserve">Every CBP ordering action on GS-07F-139DA, price per aircraft, configuration share</t>
  </si>
  <si>
    <t xml:space="preserve">Contract Sales</t>
  </si>
  <si>
    <t xml:space="preserve">SSQ+ sales by SIN, customer type, and quarter</t>
  </si>
  <si>
    <t xml:space="preserve">Buyers &amp; Competition</t>
  </si>
  <si>
    <t xml:space="preserve">By buyer, vehicle, and seller; offers received</t>
  </si>
  <si>
    <t xml:space="preserve">Adjacent Spend</t>
  </si>
  <si>
    <t xml:space="preserve">Parts, repair, and services spend, civilian vs DoD</t>
  </si>
  <si>
    <t xml:space="preserve">Projection</t>
  </si>
  <si>
    <t xml:space="preserve">Five-year projection with adjustable assumptions, vs the change package</t>
  </si>
  <si>
    <t xml:space="preserve">Claims Check</t>
  </si>
  <si>
    <t xml:space="preserve">Each claim in the GSS memo, change package, and RFI, with a verdict</t>
  </si>
  <si>
    <t xml:space="preserve">Gaps &amp; Sources</t>
  </si>
  <si>
    <t xml:space="preserve">Missing inputs, method, and sources</t>
  </si>
  <si>
    <t xml:space="preserve">Annual trends, FY2016-FY2026</t>
  </si>
  <si>
    <t xml:space="preserve">Purchases by award year (Purchases tab). MAS obligations by obligation year (FPDS). Contract sales by report year (SSQ+). FY2026 is incomplete in FPDS and SSQ+.</t>
  </si>
  <si>
    <t xml:space="preserve">FY</t>
  </si>
  <si>
    <t xml:space="preserve">Civilian purchases</t>
  </si>
  <si>
    <t xml:space="preserve">CBP</t>
  </si>
  <si>
    <t xml:space="preserve">Other agencies</t>
  </si>
  <si>
    <t xml:space="preserve">CBP share</t>
  </si>
  <si>
    <t xml:space="preserve">Aircraft (known counts)</t>
  </si>
  <si>
    <t xml:space="preserve">MAS obligations, civilian (FPDS)</t>
  </si>
  <si>
    <t xml:space="preserve">Contract sales, federal (SSQ+)</t>
  </si>
  <si>
    <t xml:space="preserve">Contract sales, state/local</t>
  </si>
  <si>
    <t xml:space="preserve">Contract sales, total</t>
  </si>
  <si>
    <t xml:space="preserve">IFF on contract sales</t>
  </si>
  <si>
    <t xml:space="preserve">Adjacent civilian spend</t>
  </si>
  <si>
    <t xml:space="preserve">Total</t>
  </si>
  <si>
    <t xml:space="preserve">Mean</t>
  </si>
  <si>
    <t xml:space="preserve">Median</t>
  </si>
  <si>
    <t xml:space="preserve">Column G is hard-coded from analyze.py output (by_vehicle.csv, civilian GSA MAS row); it includes CBP simulators. Contract sales start in FY2020; FY2017-FY2019 had none reported.</t>
  </si>
  <si>
    <t xml:space="preserve">Purchases and contract sales measure different events (order vs delivery) and do not reconcile by year.</t>
  </si>
  <si>
    <t xml:space="preserve">Complete aircraft only. Sustainment, parts, overhaul, and the Coast Guard H-60 hull rebuild excluded. Hand-tagged from FPDS award descriptions.</t>
  </si>
  <si>
    <t xml:space="preserve">Customer</t>
  </si>
  <si>
    <t xml:space="preserve">Vehicle</t>
  </si>
  <si>
    <t xml:space="preserve">Vendor</t>
  </si>
  <si>
    <t xml:space="preserve">Model</t>
  </si>
  <si>
    <t xml:space="preserve">New/used</t>
  </si>
  <si>
    <t xml:space="preserve">Aircraft</t>
  </si>
  <si>
    <t xml:space="preserve">Obligations</t>
  </si>
  <si>
    <t xml:space="preserve">Per aircraft</t>
  </si>
  <si>
    <t xml:space="preserve">Offers</t>
  </si>
  <si>
    <t xml:space="preserve">Extent competed</t>
  </si>
  <si>
    <t xml:space="preserve">CBP?</t>
  </si>
  <si>
    <t xml:space="preserve">Count basis</t>
  </si>
  <si>
    <t xml:space="preserve">FPDS award</t>
  </si>
  <si>
    <t xml:space="preserve">NPS</t>
  </si>
  <si>
    <t xml:space="preserve">Open market</t>
  </si>
  <si>
    <t xml:space="preserve">Rainier Heli International</t>
  </si>
  <si>
    <t xml:space="preserve">Bell 412EP</t>
  </si>
  <si>
    <t xml:space="preserve">used</t>
  </si>
  <si>
    <t xml:space="preserve">A</t>
  </si>
  <si>
    <t xml:space="preserve">description</t>
  </si>
  <si>
    <t xml:space="preserve">CONT_AWD_IND16PC00153_1406_-NONE-_-NONE-</t>
  </si>
  <si>
    <t xml:space="preserve">USDA APHIS</t>
  </si>
  <si>
    <t xml:space="preserve">Shier Aviation</t>
  </si>
  <si>
    <t xml:space="preserve">unspecified</t>
  </si>
  <si>
    <t xml:space="preserve">unknown</t>
  </si>
  <si>
    <t xml:space="preserve">F</t>
  </si>
  <si>
    <t xml:space="preserve">unknown; description says helicopters</t>
  </si>
  <si>
    <t xml:space="preserve">CONT_AWD_AG6395C160206_12K3_-NONE-_-NONE-</t>
  </si>
  <si>
    <t xml:space="preserve">GSA MAS</t>
  </si>
  <si>
    <t xml:space="preserve">Davenport Aviation</t>
  </si>
  <si>
    <t xml:space="preserve">H125 LEH</t>
  </si>
  <si>
    <t xml:space="preserve">new</t>
  </si>
  <si>
    <t xml:space="preserve">press ($45.9M for 7)</t>
  </si>
  <si>
    <t xml:space="preserve">CONT_AWD_70B02C18F00000452_7014_GS07F139DA_4732</t>
  </si>
  <si>
    <t xml:space="preserve">FBI</t>
  </si>
  <si>
    <t xml:space="preserve">Agency IDV</t>
  </si>
  <si>
    <t xml:space="preserve">Bell Textron</t>
  </si>
  <si>
    <t xml:space="preserve">Bell 429</t>
  </si>
  <si>
    <t xml:space="preserve">one order per aircraft</t>
  </si>
  <si>
    <t xml:space="preserve">15F06718F0001311 / 1352 / 1354 under 15F06718D0004181</t>
  </si>
  <si>
    <t xml:space="preserve">DEA</t>
  </si>
  <si>
    <t xml:space="preserve">Bell 407</t>
  </si>
  <si>
    <t xml:space="preserve">D</t>
  </si>
  <si>
    <t xml:space="preserve">CONT_AWD_15DDHQ18P00000696_1524_-NONE-_-NONE-</t>
  </si>
  <si>
    <t xml:space="preserve">DOE WAPA</t>
  </si>
  <si>
    <t xml:space="preserve">CONT_AWD_89503018CWA000001_8900_-NONE-_-NONE-</t>
  </si>
  <si>
    <t xml:space="preserve">9 + option for 10th exercised; matches press $65.7M</t>
  </si>
  <si>
    <t xml:space="preserve">CONT_AWD_70B02C19F00000617_7014_GS07F139DA_4732</t>
  </si>
  <si>
    <t xml:space="preserve">NASA</t>
  </si>
  <si>
    <t xml:space="preserve">H135 T3/P</t>
  </si>
  <si>
    <t xml:space="preserve">description (three)</t>
  </si>
  <si>
    <t xml:space="preserve">NASA order under GS07F139DA</t>
  </si>
  <si>
    <t xml:space="preserve">Bell 407GXi</t>
  </si>
  <si>
    <t xml:space="preserve">CONT_AWD_15DDHQ19F00001759_1524_15DDHQ19D00000023_1524</t>
  </si>
  <si>
    <t xml:space="preserve">3 initial ($21.2M press) + LEH 4-7 + 2 more</t>
  </si>
  <si>
    <t xml:space="preserve">CONT_AWD_70B02C21F00000080_7014_GS07F139DA_4732</t>
  </si>
  <si>
    <t xml:space="preserve">15F06721F0002394 / 3007 under 15F06718D0004181</t>
  </si>
  <si>
    <t xml:space="preserve">G</t>
  </si>
  <si>
    <t xml:space="preserve">CONT_AWD_89503021CWA000011_8900_-NONE-_-NONE-</t>
  </si>
  <si>
    <t xml:space="preserve">State INL</t>
  </si>
  <si>
    <t xml:space="preserve">Bell 206B3</t>
  </si>
  <si>
    <t xml:space="preserve">CONT_AWD_19AQMM21P0763_1900_-NONE-_-NONE-</t>
  </si>
  <si>
    <t xml:space="preserve">DOI FWS</t>
  </si>
  <si>
    <t xml:space="preserve">H125</t>
  </si>
  <si>
    <t xml:space="preserve">description; bare or lightly equipped aircraft</t>
  </si>
  <si>
    <t xml:space="preserve">FWS order under GS07F139DA</t>
  </si>
  <si>
    <t xml:space="preserve">DOE NNSA</t>
  </si>
  <si>
    <t xml:space="preserve">Leonardo Helicopters</t>
  </si>
  <si>
    <t xml:space="preserve">unspecified twin</t>
  </si>
  <si>
    <t xml:space="preserve">description (two)</t>
  </si>
  <si>
    <t xml:space="preserve">CONT_AWD_89233122CNA000245_8900_-NONE-_-NONE-</t>
  </si>
  <si>
    <t xml:space="preserve">Bell single-engine light utility</t>
  </si>
  <si>
    <t xml:space="preserve">CONT_AWD_15DDHQ22F00000733_1524_15DDHQ19D00000023_1524</t>
  </si>
  <si>
    <t xml:space="preserve">H125 LEP</t>
  </si>
  <si>
    <t xml:space="preserve">Davenport file: 1 at base (Sep 2023) + 3 (P00002 Aug 2024) + 2 (P00004 Sep 2025); includes $0.35M FLIR and switch upgrades</t>
  </si>
  <si>
    <t xml:space="preserve">CONT_AWD_70B02C23F00000959_7014_GS07F139DA_4732</t>
  </si>
  <si>
    <t xml:space="preserve">Trinity Aviation</t>
  </si>
  <si>
    <t xml:space="preserve">MD 530F</t>
  </si>
  <si>
    <t xml:space="preserve">CONT_AWD_12639524P0191_12K3_-NONE-_-NONE-</t>
  </si>
  <si>
    <t xml:space="preserve">H125 LEP RW</t>
  </si>
  <si>
    <t xml:space="preserve">description (quantity 10)</t>
  </si>
  <si>
    <t xml:space="preserve">CONT_AWD_70B02C26F00000290_7014_GS07F139DA_4732</t>
  </si>
  <si>
    <t xml:space="preserve">DOI US Park Police</t>
  </si>
  <si>
    <t xml:space="preserve">C</t>
  </si>
  <si>
    <t xml:space="preserve">unknown; not competed</t>
  </si>
  <si>
    <t xml:space="preserve">CONT_AWD_140D0426C0109_1406_-NONE-_-NONE-</t>
  </si>
  <si>
    <t xml:space="preserve">Blank aircraft counts: FPDS description does not state a count (APHIS FY2016, DEA used 407s, U.S. Park Police). Per-aircraft price shown only where the count is known.</t>
  </si>
  <si>
    <t xml:space="preserve">Source: USAspending prime award transactions, pulled Oct 19, 2026; civilian_aircraft_purchases.csv.</t>
  </si>
  <si>
    <t xml:space="preserve">CBP Light Enforcement Helicopter orders on GS-07F-139DA (Davenport Aviation)</t>
  </si>
  <si>
    <t xml:space="preserve">Every action that ordered aircraft, plus configuration upgrades and simulators. Blue = hand-entered from mod text.</t>
  </si>
  <si>
    <t xml:space="preserve">Order</t>
  </si>
  <si>
    <t xml:space="preserve">Mod</t>
  </si>
  <si>
    <t xml:space="preserve">Action date</t>
  </si>
  <si>
    <t xml:space="preserve">Description</t>
  </si>
  <si>
    <t xml:space="preserve">Aircraft added</t>
  </si>
  <si>
    <t xml:space="preserve">Obligation</t>
  </si>
  <si>
    <t xml:space="preserve">Offers on order</t>
  </si>
  <si>
    <t xml:space="preserve">Fair opportunity code</t>
  </si>
  <si>
    <t xml:space="preserve">Aircraft count basis</t>
  </si>
  <si>
    <t xml:space="preserve">70B02C18F00000452</t>
  </si>
  <si>
    <t xml:space="preserve">0</t>
  </si>
  <si>
    <t xml:space="preserve">LIGHT ENFORCEMENT HELICOPTERS</t>
  </si>
  <si>
    <t xml:space="preserve">FAIR</t>
  </si>
  <si>
    <t xml:space="preserve">Press: $45.9M for seven LEH (Hyde-Smith, Jul 2018)</t>
  </si>
  <si>
    <t xml:space="preserve">70B02C19F00000617</t>
  </si>
  <si>
    <t xml:space="preserve">Nine aircraft; option for a tenth (Hyde-Smith $59.1M release)</t>
  </si>
  <si>
    <t xml:space="preserve">P00001</t>
  </si>
  <si>
    <t xml:space="preserve">EXERCISE OPTION TO ORDER LEH 10</t>
  </si>
  <si>
    <t xml:space="preserve">Mod text: exercise option to order LEH 10</t>
  </si>
  <si>
    <t xml:space="preserve">70B02C21F00000080</t>
  </si>
  <si>
    <t xml:space="preserve">Initial three of up to nine (Hyde-Smith $21.2M release)</t>
  </si>
  <si>
    <t xml:space="preserve">ORDER LEH NUMBER 4 THROUGH 7</t>
  </si>
  <si>
    <t xml:space="preserve">Mod text: order LEH number 4 through 7</t>
  </si>
  <si>
    <t xml:space="preserve">P00003</t>
  </si>
  <si>
    <t xml:space="preserve">DEOB MOD</t>
  </si>
  <si>
    <t xml:space="preserve">Not an aircraft action (configuration upgrade or simulator)</t>
  </si>
  <si>
    <t xml:space="preserve">P00004</t>
  </si>
  <si>
    <t xml:space="preserve">ORDER TWO LIGHT ENFORCEMENT HELICOPTERS (LEH)</t>
  </si>
  <si>
    <t xml:space="preserve">Mod text: order two LEH</t>
  </si>
  <si>
    <t xml:space="preserve">70B02C23F00000959</t>
  </si>
  <si>
    <t xml:space="preserve">LIGHT ENFORCEMENT PLATFORM (LEP) HELICOPTERS</t>
  </si>
  <si>
    <t xml:space="preserve">Inferred: one aircraft at base; price likely includes one-time costs</t>
  </si>
  <si>
    <t xml:space="preserve">P00002</t>
  </si>
  <si>
    <t xml:space="preserve">ORDER 3 LIGHT ENFORCEMENT HELICOPTERS (LEPS)</t>
  </si>
  <si>
    <t xml:space="preserve">Mod text: order 3 LEPs</t>
  </si>
  <si>
    <t xml:space="preserve">FLIR 380 HD UPGRADE TO A FLIR 380X FOR THE H125 HELICOPTER</t>
  </si>
  <si>
    <t xml:space="preserve">70B02C25F00000274</t>
  </si>
  <si>
    <t xml:space="preserve">H125 SIMULATOR/FLIGHT TRAINING DEVICE FOR TRAINING AIR AND MARINE PILOTS</t>
  </si>
  <si>
    <t xml:space="preserve">CSA</t>
  </si>
  <si>
    <t xml:space="preserve">ORDER 2 LIGHT ENFORCEMENT HELICOPTERS</t>
  </si>
  <si>
    <t xml:space="preserve">Mod text: order 2 LEH</t>
  </si>
  <si>
    <t xml:space="preserve">P00006</t>
  </si>
  <si>
    <t xml:space="preserve">ADD FUNDING FOR TROLL SWITCH INTEGRATION - LIGHT ENFORCEMENT PLATFORM ROTOR WING (LEP RW).</t>
  </si>
  <si>
    <t xml:space="preserve">70B02C26F00000290</t>
  </si>
  <si>
    <t xml:space="preserve">LIGHT ENFORCEMENT PLATFORM ROTOR WING (LEP RW) - H125 QUANTITY 10</t>
  </si>
  <si>
    <t xml:space="preserve">Order text: H125 quantity 10</t>
  </si>
  <si>
    <t xml:space="preserve">70B02C26F00000854</t>
  </si>
  <si>
    <t xml:space="preserve">LIGHT ENFORCEMENT PLATFORM SIMULATOR</t>
  </si>
  <si>
    <t xml:space="preserve">Order summary</t>
  </si>
  <si>
    <t xml:space="preserve">First action</t>
  </si>
  <si>
    <t xml:space="preserve">Aircraft obligations</t>
  </si>
  <si>
    <t xml:space="preserve">Other obligations</t>
  </si>
  <si>
    <t xml:space="preserve">How much of the price is configuration?</t>
  </si>
  <si>
    <t xml:space="preserve">FWS H125, lightly equipped, MAS order 140D0422F0391 (May 2022)</t>
  </si>
  <si>
    <t xml:space="preserve">CBP H125, configured, P00004 to 70B02C21F00000080 (Sep 2022)</t>
  </si>
  <si>
    <t xml:space="preserve">Configuration and related work as share of configured price</t>
  </si>
  <si>
    <t xml:space="preserve">Third-party equipment on CBP orders: FLIR 380X upgrade (P00003, Apr 2025) and Troll switch integration (P00006, Apr 2026). Both fall outside the RFI's Phase 1 scope.</t>
  </si>
  <si>
    <t xml:space="preserve">Price per aircraft by ordering action (chart data)</t>
  </si>
  <si>
    <t xml:space="preserve">Action</t>
  </si>
  <si>
    <t xml:space="preserve">Jul 2018</t>
  </si>
  <si>
    <t xml:space="preserve">Aug 2019</t>
  </si>
  <si>
    <t xml:space="preserve">Aug 2020</t>
  </si>
  <si>
    <t xml:space="preserve">Feb 2021</t>
  </si>
  <si>
    <t xml:space="preserve">Sep 2022</t>
  </si>
  <si>
    <t xml:space="preserve">Sep 2023</t>
  </si>
  <si>
    <t xml:space="preserve">Aug 2024</t>
  </si>
  <si>
    <t xml:space="preserve">Sep 2025</t>
  </si>
  <si>
    <t xml:space="preserve">May 2026</t>
  </si>
  <si>
    <t xml:space="preserve">Reported schedule sales on GS-07F-139DA (SSQ+), FY2017 Q2 to FY2026 Q2</t>
  </si>
  <si>
    <t xml:space="preserve">Sales are reported at invoicing, usually aircraft delivery, so they lag FPDS orders. Nonzero quarters only.</t>
  </si>
  <si>
    <t xml:space="preserve">Quarter</t>
  </si>
  <si>
    <t xml:space="preserve">Period</t>
  </si>
  <si>
    <t xml:space="preserve">SIN</t>
  </si>
  <si>
    <t xml:space="preserve">Customer type</t>
  </si>
  <si>
    <t xml:space="preserve">Sales</t>
  </si>
  <si>
    <t xml:space="preserve">By fiscal year</t>
  </si>
  <si>
    <t xml:space="preserve">567 99</t>
  </si>
  <si>
    <t xml:space="preserve">State or Local Gov</t>
  </si>
  <si>
    <t xml:space="preserve">Federal</t>
  </si>
  <si>
    <t xml:space="preserve">State or local</t>
  </si>
  <si>
    <t xml:space="preserve">Disaster recovery</t>
  </si>
  <si>
    <t xml:space="preserve">State/local share</t>
  </si>
  <si>
    <t xml:space="preserve">332216</t>
  </si>
  <si>
    <t xml:space="preserve">Standard</t>
  </si>
  <si>
    <t xml:space="preserve">336413</t>
  </si>
  <si>
    <t xml:space="preserve">OLM</t>
  </si>
  <si>
    <t xml:space="preserve">Recovery</t>
  </si>
  <si>
    <t xml:space="preserve">334516</t>
  </si>
  <si>
    <t xml:space="preserve">By SIN (helicopter sales were reported under three SINs)</t>
  </si>
  <si>
    <t xml:space="preserve">SIN title</t>
  </si>
  <si>
    <t xml:space="preserve">Legacy Schedule 84 new products SIN</t>
  </si>
  <si>
    <t xml:space="preserve">Law Enforcement, Firefighting and Rescue Tools, Equipment and Accessories (Cooperative Purchasing)</t>
  </si>
  <si>
    <t xml:space="preserve">Aircraft Armoring and Helicopter Equipment (complete aircraft excluded by Refresh 26, Apr 2025)</t>
  </si>
  <si>
    <t xml:space="preserve">Order-level materials</t>
  </si>
  <si>
    <t xml:space="preserve">Other (COVID test kits)</t>
  </si>
  <si>
    <t xml:space="preserve">Derived figures</t>
  </si>
  <si>
    <t xml:space="preserve">Sales on SIN 336413 after the Refresh 26 exclusion (FY2025 Q3 on)</t>
  </si>
  <si>
    <t xml:space="preserve">State/local sales reported FY2025-FY2026 (possibly CBP deliveries)</t>
  </si>
  <si>
    <t xml:space="preserve">State/local sales, as reported</t>
  </si>
  <si>
    <t xml:space="preserve">State/local sales, low reading (FY2025-26 reassigned to federal)</t>
  </si>
  <si>
    <t xml:space="preserve">State/local share of total sales, as reported</t>
  </si>
  <si>
    <t xml:space="preserve">State/local share of total sales, low reading</t>
  </si>
  <si>
    <t xml:space="preserve">Years of reported sales (FY2020 Q1 to FY2026 Q2)</t>
  </si>
  <si>
    <t xml:space="preserve">Average annual sales</t>
  </si>
  <si>
    <t xml:space="preserve">State/local sales per year (low reading)</t>
  </si>
  <si>
    <t xml:space="preserve">State/local sales per year (as reported)</t>
  </si>
  <si>
    <t xml:space="preserve">Federal sales fall to $0.9M over FY2025-FY2026 while CBP had $42M in aircraft due for delivery; the low reading treats that window's state/local sales as CBP. Contractor confirmation not available.</t>
  </si>
  <si>
    <t xml:space="preserve">Who buys, through what, and how much competition</t>
  </si>
  <si>
    <t xml:space="preserve">All figures are formulas over the Purchases tab unless noted.</t>
  </si>
  <si>
    <t xml:space="preserve">By buyer</t>
  </si>
  <si>
    <t xml:space="preserve">Share</t>
  </si>
  <si>
    <t xml:space="preserve">Aircraft (known)</t>
  </si>
  <si>
    <t xml:space="preserve">Awards</t>
  </si>
  <si>
    <t xml:space="preserve">Avg offers (where reported)</t>
  </si>
  <si>
    <t xml:space="preserve">Main vendor</t>
  </si>
  <si>
    <t xml:space="preserve">By vehicle</t>
  </si>
  <si>
    <t xml:space="preserve">Avg offers</t>
  </si>
  <si>
    <t xml:space="preserve">Single-offer awards</t>
  </si>
  <si>
    <t xml:space="preserve">Awards reporting offers</t>
  </si>
  <si>
    <t xml:space="preserve">Agency IDV orders (FBI, DEA with Bell) do not report offers at the order level. FBI's five Bell 429s are two ledger rows (FY2018, FY2021).</t>
  </si>
  <si>
    <t xml:space="preserve">By seller</t>
  </si>
  <si>
    <t xml:space="preserve">Non-CBP purchases</t>
  </si>
  <si>
    <t xml:space="preserve">Share of non-CBP</t>
  </si>
  <si>
    <t xml:space="preserve">Seller type</t>
  </si>
  <si>
    <t xml:space="preserve">Authorized dealer on MAS (Airbus)</t>
  </si>
  <si>
    <t xml:space="preserve">OEM direct</t>
  </si>
  <si>
    <t xml:space="preserve">Dealer or used-aircraft seller</t>
  </si>
  <si>
    <t xml:space="preserve">Context: all civilian PSC 1520 / helicopter-described obligations, FY2016-FY2026 (includes sustainment)</t>
  </si>
  <si>
    <t xml:space="preserve">Buyer (funding sub-agency)</t>
  </si>
  <si>
    <t xml:space="preserve">U.S. Coast Guard</t>
  </si>
  <si>
    <t xml:space="preserve">U.S. Customs and Border Protection</t>
  </si>
  <si>
    <t xml:space="preserve">Department of State</t>
  </si>
  <si>
    <t xml:space="preserve">Departmental Offices</t>
  </si>
  <si>
    <t xml:space="preserve">Department of Energy</t>
  </si>
  <si>
    <t xml:space="preserve">Federal Bureau of Investigation</t>
  </si>
  <si>
    <t xml:space="preserve">Drug Enforcement Administration</t>
  </si>
  <si>
    <t xml:space="preserve">National Aeronautics and Space Administration</t>
  </si>
  <si>
    <t xml:space="preserve">Animal and Plant Health Inspection Service</t>
  </si>
  <si>
    <t xml:space="preserve">National Park Service</t>
  </si>
  <si>
    <t xml:space="preserve">Hard-coded from analyze.py output (by_customer.csv). Coast Guard's $638M is almost all MH-60T/MH-65 sustainment and a $315M H-60 hull rebuild, not purchases a SIN could carry.</t>
  </si>
  <si>
    <t xml:space="preserve">Rotary-wing spend outside aircraft purchases, FY2016-FY2026</t>
  </si>
  <si>
    <t xml:space="preserve">Floor values: each pull required a helicopter keyword. Fire aviation is barely captured.</t>
  </si>
  <si>
    <t xml:space="preserve">Segment</t>
  </si>
  <si>
    <t xml:space="preserve">Category</t>
  </si>
  <si>
    <t xml:space="preserve">Civilian</t>
  </si>
  <si>
    <t xml:space="preserve">DoD</t>
  </si>
  <si>
    <t xml:space="preserve">Aviation services (V1xx)</t>
  </si>
  <si>
    <t xml:space="preserve">Parts and components (1615-2995)</t>
  </si>
  <si>
    <t xml:space="preserve">Maintenance and repair (J01x)</t>
  </si>
  <si>
    <t xml:space="preserve">Modification (K01x)</t>
  </si>
  <si>
    <t xml:space="preserve">Adjacent total</t>
  </si>
  <si>
    <t xml:space="preserve">Civilian aircraft purchases (Purchases tab)</t>
  </si>
  <si>
    <t xml:space="preserve">Coast Guard bought 97% of civilian helicopter parts (MH-60T and MH-65 fleets).</t>
  </si>
  <si>
    <t xml:space="preserve">Segment = funding agency. Parts split uses agency name containing 'Defense'.</t>
  </si>
  <si>
    <t xml:space="preserve">Five-year volume and IFF projection</t>
  </si>
  <si>
    <t xml:space="preserve">Yellow cells are assumptions; change them and the table recalculates. Built on actual contract sales.</t>
  </si>
  <si>
    <t xml:space="preserve">Assumption</t>
  </si>
  <si>
    <t xml:space="preserve">Federal sales per year, as reported</t>
  </si>
  <si>
    <t xml:space="preserve">SSQ+ federal sales / 6.5 years</t>
  </si>
  <si>
    <t xml:space="preserve">Federal sales per year, with FY2025-26 state/local reassigned</t>
  </si>
  <si>
    <t xml:space="preserve">Low reading of state/local</t>
  </si>
  <si>
    <t xml:space="preserve">Base federal volume (year 1)</t>
  </si>
  <si>
    <t xml:space="preserve">Midpoint of the two readings</t>
  </si>
  <si>
    <t xml:space="preserve">Base state/local volume (year 1)</t>
  </si>
  <si>
    <t xml:space="preserve">Midpoint of low and as-reported state/local per year</t>
  </si>
  <si>
    <t xml:space="preserve">Annual price growth</t>
  </si>
  <si>
    <t xml:space="preserve">CBP per-aircraft price rose ~5%/yr, FY2019-FY2026 (CBP Orders tab)</t>
  </si>
  <si>
    <t xml:space="preserve">IFF rate</t>
  </si>
  <si>
    <t xml:space="preserve">MAS Industrial Funding Fee</t>
  </si>
  <si>
    <t xml:space="preserve">Bell civilian purchase volume per year</t>
  </si>
  <si>
    <t xml:space="preserve">Purchases tab, Bell Textron, FY2016-FY2026 / 11 years</t>
  </si>
  <si>
    <t xml:space="preserve">Share of Bell volume moving to MAS if a Bell dealer is awarded</t>
  </si>
  <si>
    <t xml:space="preserve">Assumption: one-third, starting year 3</t>
  </si>
  <si>
    <t xml:space="preserve">Year a Bell dealer is awarded</t>
  </si>
  <si>
    <t xml:space="preserve">Projection built on actuals</t>
  </si>
  <si>
    <t xml:space="preserve">Year</t>
  </si>
  <si>
    <t xml:space="preserve">State/local</t>
  </si>
  <si>
    <t xml:space="preserve">Bell upside</t>
  </si>
  <si>
    <t xml:space="preserve">IFF</t>
  </si>
  <si>
    <t xml:space="preserve">Change package total</t>
  </si>
  <si>
    <t xml:space="preserve">Change package IFF</t>
  </si>
  <si>
    <t xml:space="preserve">5-year total</t>
  </si>
  <si>
    <t xml:space="preserve">Projection as share of change package</t>
  </si>
  <si>
    <t xml:space="preserve">Change package columns: completed draft MCP 2026-15, Customer Analysis projection table ($100M/yr federal demand assumption, 40-65% capture, state/local $10M-$30M).</t>
  </si>
  <si>
    <t xml:space="preserve">Volume arrives in lumps: FY2026 civilian MAS obligations were $98.6M; FY2016-FY2017 were zero.</t>
  </si>
  <si>
    <t xml:space="preserve">Claims in the source documents, checked against the data</t>
  </si>
  <si>
    <t xml:space="preserve">Source</t>
  </si>
  <si>
    <t xml:space="preserve">Claim</t>
  </si>
  <si>
    <t xml:space="preserve">Verdict</t>
  </si>
  <si>
    <t xml:space="preserve">What the data shows</t>
  </si>
  <si>
    <t xml:space="preserve">Tab</t>
  </si>
  <si>
    <t xml:space="preserve">GSS memo, Sep 2025</t>
  </si>
  <si>
    <t xml:space="preserve">CBP is 70% of civilian helicopter purchasing</t>
  </si>
  <si>
    <t xml:space="preserve">Holds</t>
  </si>
  <si>
    <t xml:space="preserve">70% of aircraft with known counts (42 of 60); 63% of purchase dollars</t>
  </si>
  <si>
    <t xml:space="preserve">Summary, Purchases</t>
  </si>
  <si>
    <t xml:space="preserve">DOJ buys Bell helicopters</t>
  </si>
  <si>
    <t xml:space="preserve">FBI five Bell 429s; DEA Bell 407s new and used; $55.2M combined</t>
  </si>
  <si>
    <t xml:space="preserve">State is an active helicopter buyer</t>
  </si>
  <si>
    <t xml:space="preserve">Not supported</t>
  </si>
  <si>
    <t xml:space="preserve">One used Bell 206B3 ($0.8M). State's other PSC 1520 spend is depot maintenance of partner-nation aircraft</t>
  </si>
  <si>
    <t xml:space="preserve">State and local demand is limited</t>
  </si>
  <si>
    <t xml:space="preserve">$63M-$113M in state/local sales on the contract, FY2020-FY2026 Q2 (22-38% of sales)</t>
  </si>
  <si>
    <t xml:space="preserve">CBP previously sourced helicopters directly from Airbus</t>
  </si>
  <si>
    <t xml:space="preserve">No evidence</t>
  </si>
  <si>
    <t xml:space="preserve">No CBP purchase direct from Airbus in FY2016-FY2026 FPDS; all five CBP orders went to Davenport on MAS</t>
  </si>
  <si>
    <t xml:space="preserve">Open-market competition among Airbus resellers would yield better pricing</t>
  </si>
  <si>
    <t xml:space="preserve">No open-market purchase of a configured H125 exists to compare. The May 2026 MAS order drew two bids</t>
  </si>
  <si>
    <t xml:space="preserve">MAS creates a near sole-source environment</t>
  </si>
  <si>
    <t xml:space="preserve">Partly</t>
  </si>
  <si>
    <t xml:space="preserve">Four of five CBP orders drew one offer. Cause is the brand-name requirement and one reseller on schedule</t>
  </si>
  <si>
    <t xml:space="preserve">Change package</t>
  </si>
  <si>
    <t xml:space="preserve">Helicopters were removed from MAS as low-demand</t>
  </si>
  <si>
    <t xml:space="preserve">$293.9M in sales FY2020-FY2026 Q2; $39.3M on SIN 336413 after the April 2025 exclusion</t>
  </si>
  <si>
    <t xml:space="preserve">CBP bought 16 aircraft in 2020</t>
  </si>
  <si>
    <t xml:space="preserve">FPDS shows two orders totaling 19 aircraft (Aug 2019 and Feb 2021-Sep 2022). 42 aircraft across five orders</t>
  </si>
  <si>
    <t xml:space="preserve">Federal civilian demand of $100M/yr (10-15 aircraft)</t>
  </si>
  <si>
    <t xml:space="preserve">Purchases averaged $46M/yr and about 5.5 aircraft/yr, FY2016-FY2026</t>
  </si>
  <si>
    <t xml:space="preserve">SIN capture of federal demand starts at 40%</t>
  </si>
  <si>
    <t xml:space="preserve">MAS already carries 68% of federal civilian purchase dollars</t>
  </si>
  <si>
    <t xml:space="preserve">Year-1 volume $50M</t>
  </si>
  <si>
    <t xml:space="preserve">Contract sales averaged about $45M/yr, FY2020-FY2026 Q2</t>
  </si>
  <si>
    <t xml:space="preserve">Volume grows to $103M by year 5</t>
  </si>
  <si>
    <t xml:space="preserve">No buyer growth in the data; growth beyond price escalation requires a second manufacturer</t>
  </si>
  <si>
    <t xml:space="preserve">$10M maximum order fits a configured light helicopter</t>
  </si>
  <si>
    <t xml:space="preserve">At risk</t>
  </si>
  <si>
    <t xml:space="preserve">CBP paid $9.55M in May 2026, rising ~5%/yr; NNSA paid $18M per twin</t>
  </si>
  <si>
    <t xml:space="preserve">Change package / RFI</t>
  </si>
  <si>
    <t xml:space="preserve">Phase 1 can exclude third-party mission-system integration</t>
  </si>
  <si>
    <t xml:space="preserve">Not supported for CBP</t>
  </si>
  <si>
    <t xml:space="preserve">CBP orders carry FLIR 380X and Troll integration mods; configuration is about a third of price</t>
  </si>
  <si>
    <t xml:space="preserve">CBP's May 2026 order drew two bids</t>
  </si>
  <si>
    <t xml:space="preserve">FPDS offers received = 2</t>
  </si>
  <si>
    <t xml:space="preserve">RFI draft</t>
  </si>
  <si>
    <t xml:space="preserve">Agencies generally buy through agency-specific contracts, not MAS</t>
  </si>
  <si>
    <t xml:space="preserve">68% of federal civilian purchase dollars went through MAS</t>
  </si>
  <si>
    <t xml:space="preserve">Information gaps, method, and sources</t>
  </si>
  <si>
    <t xml:space="preserve">Missing input</t>
  </si>
  <si>
    <t xml:space="preserve">What it would settle</t>
  </si>
  <si>
    <t xml:space="preserve">How the workbook handles it</t>
  </si>
  <si>
    <t xml:space="preserve">Document creating the temporary accommodation, with effective date</t>
  </si>
  <si>
    <t xml:space="preserve">Whether CBP's Sep 2025 ($17.6M) and May 2026 ($95.5M) orders were in scope at award</t>
  </si>
  <si>
    <t xml:space="preserve">States the timing risk; recommends the PMO document the accommodation before approval</t>
  </si>
  <si>
    <t xml:space="preserve">Davenport confirmation of FY2025-FY2026 customer-type split</t>
  </si>
  <si>
    <t xml:space="preserve">Whether $49.2M reported as state/local was CBP deliveries</t>
  </si>
  <si>
    <t xml:space="preserve">Shows state/local as a range and leads with the low end (22% of sales)</t>
  </si>
  <si>
    <t xml:space="preserve">FAIRS helicopter counts, models, and ages</t>
  </si>
  <si>
    <t xml:space="preserve">Fleet replacement demand</t>
  </si>
  <si>
    <t xml:space="preserve">Uses observed purchases (~5.5 aircraft/yr) instead of an inventory estimate</t>
  </si>
  <si>
    <t xml:space="preserve">LESO/1033 aircraft holdings</t>
  </si>
  <si>
    <t xml:space="preserve">Size and timing of state/local replacement demand</t>
  </si>
  <si>
    <t xml:space="preserve">Described qualitatively; no projection figure depends on it</t>
  </si>
  <si>
    <t xml:space="preserve">Full eLibrary listing of SIN 336413 holders</t>
  </si>
  <si>
    <t xml:space="preserve">Whether any other MAS contractor lists complete aircraft</t>
  </si>
  <si>
    <t xml:space="preserve">FPDS and SSQ+ show no other seller of complete aircraft</t>
  </si>
  <si>
    <t xml:space="preserve">GSS memo's supporting Google Doc</t>
  </si>
  <si>
    <t xml:space="preserve">The data behind the Sep 2025 conclusions</t>
  </si>
  <si>
    <t xml:space="preserve">Memo claims checked directly against FPDS and SSQ+ (Claims Check tab)</t>
  </si>
  <si>
    <t xml:space="preserve">Method</t>
  </si>
  <si>
    <t xml:space="preserve">FPDS: USAspending prime award transactions for PSC 1520, NAICS 336411 (helicopter descriptions only), and PSCs 1510/1560 with helicopter keywords, FY2016-FY2026. Pulled Oct 19, 2026.</t>
  </si>
  <si>
    <t xml:space="preserve">Purchases: complete aircraft hand-tagged from award descriptions; sustainment, parts, overhaul, and the Coast Guard H-60 hull rebuild excluded. Customer = funding agency.</t>
  </si>
  <si>
    <t xml:space="preserve">CBP orders: every action under GS-07F-139DA from the USAspending IDV child-award endpoint; aircraft counts from modification text and press releases (CBP Orders tab, column K).</t>
  </si>
  <si>
    <t xml:space="preserve">Contract sales: SSQ+ (Schedule Sales Query Plus), GS-07F-139DA, by SIN and customer type, FY2017 Q2 to FY2026 Q2.</t>
  </si>
  <si>
    <t xml:space="preserve">Adjacent spend: helicopter-keyword pulls of V1xx, J01x, K01x, and parts PSCs. Floors, not totals.</t>
  </si>
  <si>
    <t xml:space="preserve">FY2026 is incomplete in FPDS and SSQ+. DoD data runs about 90 days behind.</t>
  </si>
  <si>
    <t xml:space="preserve">Color key: blue text = hard-coded input; yellow fill = assumption to vary; green = cross-tab link; black = formula.</t>
  </si>
  <si>
    <t xml:space="preserve">Sources</t>
  </si>
  <si>
    <t xml:space="preserve">USAspending.gov prime award transactions and IDV child awards (pulled Oct 19, 2026)</t>
  </si>
  <si>
    <t xml:space="preserve">GSA SSQ+ Schedule Sales Query Plus, GS-07F-139DA</t>
  </si>
  <si>
    <t xml:space="preserve">GSA MAS Refresh 26 SF30 attachment, solicitation 47QSMD20R0001 (Apr 25, 2025)</t>
  </si>
  <si>
    <t xml:space="preserve">GSA Interact, helicopter SIN RFI (Sep 30, 2026)</t>
  </si>
  <si>
    <t xml:space="preserve">GSS, Market Research Results for Helicopter Marketplace (Sep 2025)</t>
  </si>
  <si>
    <t xml:space="preserve">MCP 2026-15 completed draft change package; Helicopter SIN RFI draft</t>
  </si>
  <si>
    <t xml:space="preserve">Airbus, CBP orders 10 H125 helicopters (Jul 2026); GovConWire, CBP FY2026 H125 recompete</t>
  </si>
  <si>
    <t xml:space="preserve">Sen. Hyde-Smith releases on CBP LEH awards (Jul 2018, Jan 2021)</t>
  </si>
  <si>
    <t xml:space="preserve">GSA R7, FAS procures Airbus H125 for Albuquerque PD (Jan 2020); Federal Times (Mar 2017)</t>
  </si>
  <si>
    <t xml:space="preserve">Baltimore City Board of Estimates (Dec 2021); Davenport Aviation and Vertical releases (NMSP Nov 2025, Baltimore County Aug 2026)</t>
  </si>
  <si>
    <t xml:space="preserve">Sen. Grassley letters on federal aircraft (Jun 23, 2025); GAO-17-73R</t>
  </si>
  <si>
    <t xml:space="preserve">DLA LESO/1033 FAQs; Vertical, 'In the crosshairs'; BJS Aviation Units in Large Law Enforcement Agencies (2007)</t>
  </si>
  <si>
    <t xml:space="preserve">GAMA 2025 aircraft shipment and billing report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</si>
</sst>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,,\M;&quot;($&quot;#,##0.0,,&quot;M)&quot;;\-"/>
    <numFmt numFmtId="166" formatCode="0%;\(0%\);\-"/>
    <numFmt numFmtId="167" formatCode="0"/>
    <numFmt numFmtId="168" formatCode="\$#,##0;&quot;($&quot;#,##0\);\-"/>
    <numFmt numFmtId="169" formatCode="\$0,,\M"/>
    <numFmt numFmtId="170" formatCode="yyyy\-mm\-dd"/>
    <numFmt numFmtId="171" formatCode="\$0.0,,\M"/>
    <numFmt numFmtId="172" formatCode="0.0"/>
    <numFmt numFmtId="173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864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Civilian helicopter purchases by award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'Annual Trends'!C4</c:f>
              <c:strCache>
                <c:ptCount val="1"/>
                <c:pt idx="0">
                  <c:v>CBP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Trends'!$A$5:$A$15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'Annual Trends'!$C$5:$C$15</c:f>
              <c:numCache>
                <c:formatCode>\$#,##0.0,,\M;"($"#,##0.0,,"M)";\-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45960000</c:v>
                </c:pt>
                <c:pt idx="3">
                  <c:v>65720000</c:v>
                </c:pt>
                <c:pt idx="4">
                  <c:v>0</c:v>
                </c:pt>
                <c:pt idx="5">
                  <c:v>63590000</c:v>
                </c:pt>
                <c:pt idx="6">
                  <c:v>0</c:v>
                </c:pt>
                <c:pt idx="7">
                  <c:v>52270000</c:v>
                </c:pt>
                <c:pt idx="8">
                  <c:v>0</c:v>
                </c:pt>
                <c:pt idx="9">
                  <c:v>0</c:v>
                </c:pt>
                <c:pt idx="10">
                  <c:v>95510000</c:v>
                </c:pt>
              </c:numCache>
            </c:numRef>
          </c:val>
        </c:ser>
        <c:ser>
          <c:idx val="1"/>
          <c:order val="1"/>
          <c:tx>
            <c:strRef>
              <c:f>'Annual Trends'!D4</c:f>
              <c:strCache>
                <c:ptCount val="1"/>
                <c:pt idx="0">
                  <c:v>Other agencies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Trends'!$A$5:$A$15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'Annual Trends'!$D$5:$D$15</c:f>
              <c:numCache>
                <c:formatCode>\$#,##0.0,,\M;"($"#,##0.0,,"M)";\-</c:formatCode>
                <c:ptCount val="11"/>
                <c:pt idx="0">
                  <c:v>9233000</c:v>
                </c:pt>
                <c:pt idx="1">
                  <c:v>0</c:v>
                </c:pt>
                <c:pt idx="2">
                  <c:v>27237000</c:v>
                </c:pt>
                <c:pt idx="3">
                  <c:v>26581000</c:v>
                </c:pt>
                <c:pt idx="4">
                  <c:v>0</c:v>
                </c:pt>
                <c:pt idx="5">
                  <c:v>22218000</c:v>
                </c:pt>
                <c:pt idx="6">
                  <c:v>45142000</c:v>
                </c:pt>
                <c:pt idx="7">
                  <c:v>0</c:v>
                </c:pt>
                <c:pt idx="8">
                  <c:v>2850000</c:v>
                </c:pt>
                <c:pt idx="9">
                  <c:v>0</c:v>
                </c:pt>
                <c:pt idx="10">
                  <c:v>53240000</c:v>
                </c:pt>
              </c:numCache>
            </c:numRef>
          </c:val>
        </c:ser>
        <c:gapWidth val="60"/>
        <c:overlap val="100"/>
        <c:axId val="50540132"/>
        <c:axId val="47518133"/>
      </c:barChart>
      <c:catAx>
        <c:axId val="50540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18133"/>
        <c:crosses val="autoZero"/>
        <c:auto val="1"/>
        <c:lblAlgn val="ctr"/>
        <c:lblOffset val="100"/>
        <c:noMultiLvlLbl val="0"/>
      </c:catAx>
      <c:valAx>
        <c:axId val="47518133"/>
        <c:scaling>
          <c:orientation val="minMax"/>
        </c:scaling>
        <c:delete val="0"/>
        <c:axPos val="l"/>
        <c:numFmt formatCode="\$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40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Reported contract sales: federal vs state/local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'Annual Trends'!H4</c:f>
              <c:strCache>
                <c:ptCount val="1"/>
                <c:pt idx="0">
                  <c:v>Contract sales, federal (SSQ+)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Trends'!$A$5:$A$15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'Annual Trends'!$H$5:$H$15</c:f>
              <c:numCache>
                <c:formatCode>\$#,##0.0,,\M;"($"#,##0.0,,"M)";\-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26056656</c:v>
                </c:pt>
                <c:pt idx="5">
                  <c:v>66255243</c:v>
                </c:pt>
                <c:pt idx="6">
                  <c:v>16304729</c:v>
                </c:pt>
                <c:pt idx="7">
                  <c:v>53148289</c:v>
                </c:pt>
                <c:pt idx="8">
                  <c:v>12296946</c:v>
                </c:pt>
                <c:pt idx="9">
                  <c:v>884201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'Annual Trends'!I4</c:f>
              <c:strCache>
                <c:ptCount val="1"/>
                <c:pt idx="0">
                  <c:v>Contract sales, state/local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Trends'!$A$5:$A$15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'Annual Trends'!$I$5:$I$15</c:f>
              <c:numCache>
                <c:formatCode>\$#,##0.0,,\M;"($"#,##0.0,,"M)";\-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8160589</c:v>
                </c:pt>
                <c:pt idx="5">
                  <c:v>10417913</c:v>
                </c:pt>
                <c:pt idx="6">
                  <c:v>0</c:v>
                </c:pt>
                <c:pt idx="7">
                  <c:v>22683187</c:v>
                </c:pt>
                <c:pt idx="8">
                  <c:v>22154653</c:v>
                </c:pt>
                <c:pt idx="9">
                  <c:v>10450824</c:v>
                </c:pt>
                <c:pt idx="10">
                  <c:v>38769551</c:v>
                </c:pt>
              </c:numCache>
            </c:numRef>
          </c:val>
        </c:ser>
        <c:gapWidth val="60"/>
        <c:overlap val="100"/>
        <c:axId val="72800852"/>
        <c:axId val="93172955"/>
      </c:barChart>
      <c:catAx>
        <c:axId val="72800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72955"/>
        <c:crosses val="autoZero"/>
        <c:auto val="1"/>
        <c:lblAlgn val="ctr"/>
        <c:lblOffset val="100"/>
        <c:noMultiLvlLbl val="0"/>
      </c:catAx>
      <c:valAx>
        <c:axId val="93172955"/>
        <c:scaling>
          <c:orientation val="minMax"/>
        </c:scaling>
        <c:delete val="0"/>
        <c:axPos val="l"/>
        <c:numFmt formatCode="\$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008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CBP price per configured H125, by ordering 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'CBP Orders'!B40</c:f>
              <c:strCache>
                <c:ptCount val="1"/>
                <c:pt idx="0">
                  <c:v>Per aircraft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numFmt formatCode="\$0.0,,\M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'CBP Orders'!$A$41:$A$50</c:f>
              <c:strCache>
                <c:ptCount val="10"/>
                <c:pt idx="0">
                  <c:v>Jul 2018</c:v>
                </c:pt>
                <c:pt idx="1">
                  <c:v>Aug 2019</c:v>
                </c:pt>
                <c:pt idx="2">
                  <c:v>Aug 2020</c:v>
                </c:pt>
                <c:pt idx="3">
                  <c:v>Feb 2021</c:v>
                </c:pt>
                <c:pt idx="4">
                  <c:v>Feb 2021</c:v>
                </c:pt>
                <c:pt idx="5">
                  <c:v>Sep 2022</c:v>
                </c:pt>
                <c:pt idx="6">
                  <c:v>Sep 2023</c:v>
                </c:pt>
                <c:pt idx="7">
                  <c:v>Aug 2024</c:v>
                </c:pt>
                <c:pt idx="8">
                  <c:v>Sep 2025</c:v>
                </c:pt>
                <c:pt idx="9">
                  <c:v>May 2026</c:v>
                </c:pt>
              </c:strCache>
            </c:strRef>
          </c:cat>
          <c:val>
            <c:numRef>
              <c:f>'CBP Orders'!$B$41:$B$50</c:f>
              <c:numCache>
                <c:formatCode>\$#,##0.0,,\M;"($"#,##0.0,,"M)";\-</c:formatCode>
                <c:ptCount val="10"/>
                <c:pt idx="0">
                  <c:v>6565504.65714286</c:v>
                </c:pt>
                <c:pt idx="1">
                  <c:v>6572328.84</c:v>
                </c:pt>
                <c:pt idx="2">
                  <c:v>6570194.62</c:v>
                </c:pt>
                <c:pt idx="3">
                  <c:v>7085744.7</c:v>
                </c:pt>
                <c:pt idx="4">
                  <c:v>6985234.7</c:v>
                </c:pt>
                <c:pt idx="5">
                  <c:v>7194801.57</c:v>
                </c:pt>
                <c:pt idx="6">
                  <c:v>9671741.78</c:v>
                </c:pt>
                <c:pt idx="7">
                  <c:v>8210107.78</c:v>
                </c:pt>
                <c:pt idx="8">
                  <c:v>8809236.31</c:v>
                </c:pt>
                <c:pt idx="9">
                  <c:v>9550781.435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9695727"/>
        <c:axId val="13402079"/>
      </c:lineChart>
      <c:catAx>
        <c:axId val="996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02079"/>
        <c:crosses val="autoZero"/>
        <c:auto val="1"/>
        <c:lblAlgn val="ctr"/>
        <c:lblOffset val="100"/>
        <c:noMultiLvlLbl val="0"/>
      </c:catAx>
      <c:valAx>
        <c:axId val="134020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 aircraft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95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Reported sales on GS-07F-139DA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'Contract Sales'!I5</c:f>
              <c:strCache>
                <c:ptCount val="1"/>
                <c:pt idx="0">
                  <c:v>Federal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'Contract Sales'!$H$6:$H$15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'Contract Sales'!$I$6:$I$15</c:f>
              <c:numCache>
                <c:formatCode>\$#,##0.0,,\M;"($"#,##0.0,,"M)";\-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26056656</c:v>
                </c:pt>
                <c:pt idx="4">
                  <c:v>66255243</c:v>
                </c:pt>
                <c:pt idx="5">
                  <c:v>16304729</c:v>
                </c:pt>
                <c:pt idx="6">
                  <c:v>53148289</c:v>
                </c:pt>
                <c:pt idx="7">
                  <c:v>12296946</c:v>
                </c:pt>
                <c:pt idx="8">
                  <c:v>884201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'Contract Sales'!J5</c:f>
              <c:strCache>
                <c:ptCount val="1"/>
                <c:pt idx="0">
                  <c:v>State or local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'Contract Sales'!$H$6:$H$15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'Contract Sales'!$J$6:$J$15</c:f>
              <c:numCache>
                <c:formatCode>\$#,##0.0,,\M;"($"#,##0.0,,"M)";\-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8160589</c:v>
                </c:pt>
                <c:pt idx="4">
                  <c:v>10417913</c:v>
                </c:pt>
                <c:pt idx="5">
                  <c:v>0</c:v>
                </c:pt>
                <c:pt idx="6">
                  <c:v>22683187</c:v>
                </c:pt>
                <c:pt idx="7">
                  <c:v>22154653</c:v>
                </c:pt>
                <c:pt idx="8">
                  <c:v>10450824</c:v>
                </c:pt>
                <c:pt idx="9">
                  <c:v>38769551</c:v>
                </c:pt>
              </c:numCache>
            </c:numRef>
          </c:val>
        </c:ser>
        <c:ser>
          <c:idx val="2"/>
          <c:order val="2"/>
          <c:tx>
            <c:strRef>
              <c:f>'Contract Sales'!K5</c:f>
              <c:strCache>
                <c:ptCount val="1"/>
                <c:pt idx="0">
                  <c:v>Disaster recovery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'Contract Sales'!$H$6:$H$15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'Contract Sales'!$K$6:$K$15</c:f>
              <c:numCache>
                <c:formatCode>\$#,##0.0,,\M;"($"#,##0.0,,"M)";\-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6348372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overlap val="100"/>
        <c:axId val="15290609"/>
        <c:axId val="35151897"/>
      </c:barChart>
      <c:catAx>
        <c:axId val="15290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51897"/>
        <c:crosses val="autoZero"/>
        <c:auto val="1"/>
        <c:lblAlgn val="ctr"/>
        <c:lblOffset val="100"/>
        <c:noMultiLvlLbl val="0"/>
      </c:catAx>
      <c:valAx>
        <c:axId val="35151897"/>
        <c:scaling>
          <c:orientation val="minMax"/>
        </c:scaling>
        <c:delete val="0"/>
        <c:axPos val="l"/>
        <c:numFmt formatCode="\$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906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96480</xdr:rowOff>
    </xdr:from>
    <xdr:to>
      <xdr:col>7</xdr:col>
      <xdr:colOff>120960</xdr:colOff>
      <xdr:row>36</xdr:row>
      <xdr:rowOff>118800</xdr:rowOff>
    </xdr:to>
    <xdr:graphicFrame>
      <xdr:nvGraphicFramePr>
        <xdr:cNvPr id="0" name="Chart 1"/>
        <xdr:cNvGraphicFramePr/>
      </xdr:nvGraphicFramePr>
      <xdr:xfrm>
        <a:off x="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96480</xdr:rowOff>
    </xdr:from>
    <xdr:to>
      <xdr:col>13</xdr:col>
      <xdr:colOff>214200</xdr:colOff>
      <xdr:row>36</xdr:row>
      <xdr:rowOff>118800</xdr:rowOff>
    </xdr:to>
    <xdr:graphicFrame>
      <xdr:nvGraphicFramePr>
        <xdr:cNvPr id="1" name="Chart 2"/>
        <xdr:cNvGraphicFramePr/>
      </xdr:nvGraphicFramePr>
      <xdr:xfrm>
        <a:off x="563868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36</xdr:row>
      <xdr:rowOff>32400</xdr:rowOff>
    </xdr:from>
    <xdr:to>
      <xdr:col>7</xdr:col>
      <xdr:colOff>135720</xdr:colOff>
      <xdr:row>50</xdr:row>
      <xdr:rowOff>132840</xdr:rowOff>
    </xdr:to>
    <xdr:graphicFrame>
      <xdr:nvGraphicFramePr>
        <xdr:cNvPr id="2" name="Chart 1"/>
        <xdr:cNvGraphicFramePr/>
      </xdr:nvGraphicFramePr>
      <xdr:xfrm>
        <a:off x="2889720" y="7429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160920</xdr:rowOff>
    </xdr:from>
    <xdr:to>
      <xdr:col>24</xdr:col>
      <xdr:colOff>364680</xdr:colOff>
      <xdr:row>17</xdr:row>
      <xdr:rowOff>70560</xdr:rowOff>
    </xdr:to>
    <xdr:graphicFrame>
      <xdr:nvGraphicFramePr>
        <xdr:cNvPr id="3" name="Chart 1"/>
        <xdr:cNvGraphicFramePr/>
      </xdr:nvGraphicFramePr>
      <xdr:xfrm>
        <a:off x="1792800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1.5" hidden="false" customHeight="true" outlineLevel="0" collapsed="false">
      <c r="A5" s="4" t="s">
        <v>3</v>
      </c>
      <c r="B5" s="4"/>
      <c r="C5" s="4"/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</row>
    <row r="8" customFormat="false" ht="15" hidden="false" customHeight="false" outlineLevel="0" collapsed="false">
      <c r="A8" s="6" t="s">
        <v>7</v>
      </c>
      <c r="B8" s="7" t="n">
        <f aca="false">Purchases!H25</f>
        <v>509551000</v>
      </c>
      <c r="C8" s="6" t="s">
        <v>8</v>
      </c>
    </row>
    <row r="9" customFormat="false" ht="15" hidden="false" customHeight="false" outlineLevel="0" collapsed="false">
      <c r="A9" s="6" t="s">
        <v>9</v>
      </c>
      <c r="B9" s="7" t="n">
        <f aca="false">'Annual Trends'!B17</f>
        <v>46322818.1818182</v>
      </c>
      <c r="C9" s="6" t="s">
        <v>10</v>
      </c>
    </row>
    <row r="10" customFormat="false" ht="15" hidden="false" customHeight="false" outlineLevel="0" collapsed="false">
      <c r="A10" s="6" t="s">
        <v>11</v>
      </c>
      <c r="B10" s="8" t="n">
        <f aca="false">SUMIFS(Purchases!$H$5:$H$24,Purchases!$B$5:$B$24,"CBP")/Purchases!H25</f>
        <v>0.633989531960491</v>
      </c>
      <c r="C10" s="6" t="s">
        <v>12</v>
      </c>
    </row>
    <row r="11" customFormat="false" ht="15" hidden="false" customHeight="false" outlineLevel="0" collapsed="false">
      <c r="A11" s="6" t="s">
        <v>13</v>
      </c>
      <c r="B11" s="8" t="n">
        <f aca="false">SUMIFS(Purchases!$G$5:$G$24,Purchases!$B$5:$B$24,"CBP")/Purchases!G25</f>
        <v>0.7</v>
      </c>
      <c r="C11" s="6" t="s">
        <v>14</v>
      </c>
    </row>
    <row r="12" customFormat="false" ht="15" hidden="false" customHeight="false" outlineLevel="0" collapsed="false">
      <c r="A12" s="6" t="s">
        <v>15</v>
      </c>
      <c r="B12" s="8" t="n">
        <f aca="false">SUMIFS(Purchases!$H$5:$H$24,Purchases!$C$5:$C$24,"GSA MAS")/Purchases!H25</f>
        <v>0.679617938145544</v>
      </c>
      <c r="C12" s="6" t="s">
        <v>16</v>
      </c>
    </row>
    <row r="13" customFormat="false" ht="15" hidden="false" customHeight="false" outlineLevel="0" collapsed="false">
      <c r="A13" s="6" t="s">
        <v>17</v>
      </c>
      <c r="B13" s="9" t="n">
        <f aca="false">'CBP Orders'!C31</f>
        <v>42</v>
      </c>
      <c r="C13" s="6" t="s">
        <v>18</v>
      </c>
    </row>
    <row r="14" customFormat="false" ht="15" hidden="false" customHeight="false" outlineLevel="0" collapsed="false">
      <c r="A14" s="6" t="s">
        <v>19</v>
      </c>
      <c r="B14" s="7" t="n">
        <f aca="false">'CBP Orders'!F24</f>
        <v>6565504.65714286</v>
      </c>
      <c r="C14" s="6" t="s">
        <v>20</v>
      </c>
    </row>
    <row r="15" customFormat="false" ht="15" hidden="false" customHeight="false" outlineLevel="0" collapsed="false">
      <c r="A15" s="6" t="s">
        <v>21</v>
      </c>
      <c r="B15" s="7" t="n">
        <f aca="false">'CBP Orders'!F29</f>
        <v>9550781.435</v>
      </c>
      <c r="C15" s="6" t="s">
        <v>22</v>
      </c>
    </row>
    <row r="16" customFormat="false" ht="23.85" hidden="false" customHeight="false" outlineLevel="0" collapsed="false">
      <c r="A16" s="6" t="s">
        <v>23</v>
      </c>
      <c r="B16" s="8" t="n">
        <f aca="false">'CBP Orders'!G36</f>
        <v>0.337014238184195</v>
      </c>
      <c r="C16" s="6" t="s">
        <v>24</v>
      </c>
    </row>
    <row r="17" customFormat="false" ht="15" hidden="false" customHeight="false" outlineLevel="0" collapsed="false">
      <c r="A17" s="6" t="s">
        <v>25</v>
      </c>
      <c r="B17" s="10" t="s">
        <v>26</v>
      </c>
      <c r="C17" s="6" t="s">
        <v>27</v>
      </c>
    </row>
    <row r="18" customFormat="false" ht="15" hidden="false" customHeight="false" outlineLevel="0" collapsed="false">
      <c r="A18" s="6" t="s">
        <v>28</v>
      </c>
      <c r="B18" s="8" t="n">
        <f aca="false">SUMIFS(Purchases!$H$5:$H$24,Purchases!$D$5:$D$24,"Bell Textron",Purchases!$B$5:$B$24,"&lt;&gt;CBP")/SUMIFS(Purchases!$H$5:$H$24,Purchases!$B$5:$B$24,"&lt;&gt;CBP")</f>
        <v>0.613031565514394</v>
      </c>
      <c r="C18" s="6" t="s">
        <v>29</v>
      </c>
    </row>
    <row r="19" customFormat="false" ht="15" hidden="false" customHeight="false" outlineLevel="0" collapsed="false">
      <c r="A19" s="6" t="s">
        <v>30</v>
      </c>
      <c r="B19" s="7" t="n">
        <f aca="false">'Contract Sales'!L16</f>
        <v>293931153</v>
      </c>
      <c r="C19" s="6" t="s">
        <v>31</v>
      </c>
    </row>
    <row r="20" customFormat="false" ht="15" hidden="false" customHeight="false" outlineLevel="0" collapsed="false">
      <c r="A20" s="6" t="s">
        <v>32</v>
      </c>
      <c r="B20" s="8" t="n">
        <f aca="false">'Contract Sales'!I32</f>
        <v>0.215752367017728</v>
      </c>
      <c r="C20" s="6" t="s">
        <v>33</v>
      </c>
    </row>
    <row r="21" customFormat="false" ht="15" hidden="false" customHeight="false" outlineLevel="0" collapsed="false">
      <c r="A21" s="6" t="s">
        <v>34</v>
      </c>
      <c r="B21" s="8" t="n">
        <f aca="false">'Contract Sales'!I31</f>
        <v>0.383207822139221</v>
      </c>
      <c r="C21" s="6" t="s">
        <v>35</v>
      </c>
    </row>
    <row r="22" customFormat="false" ht="15" hidden="false" customHeight="false" outlineLevel="0" collapsed="false">
      <c r="A22" s="6" t="s">
        <v>36</v>
      </c>
      <c r="B22" s="7" t="n">
        <f aca="false">'Contract Sales'!I27</f>
        <v>39276140</v>
      </c>
      <c r="C22" s="6" t="s">
        <v>37</v>
      </c>
    </row>
    <row r="23" customFormat="false" ht="15" hidden="false" customHeight="false" outlineLevel="0" collapsed="false">
      <c r="A23" s="6" t="s">
        <v>38</v>
      </c>
      <c r="B23" s="11" t="n">
        <f aca="false">'Annual Trends'!K16</f>
        <v>2204483.6475</v>
      </c>
      <c r="C23" s="6" t="s">
        <v>39</v>
      </c>
    </row>
    <row r="24" customFormat="false" ht="15" hidden="false" customHeight="false" outlineLevel="0" collapsed="false">
      <c r="A24" s="6" t="s">
        <v>40</v>
      </c>
      <c r="B24" s="7" t="n">
        <f aca="false">'Adjacent Spend'!G9</f>
        <v>1092851180.8</v>
      </c>
      <c r="C24" s="6" t="s">
        <v>41</v>
      </c>
    </row>
    <row r="25" customFormat="false" ht="15" hidden="false" customHeight="false" outlineLevel="0" collapsed="false">
      <c r="A25" s="6" t="s">
        <v>42</v>
      </c>
      <c r="B25" s="8" t="n">
        <f aca="false">'Adjacent Spend'!G11</f>
        <v>0.317991953646497</v>
      </c>
      <c r="C25" s="6" t="s">
        <v>43</v>
      </c>
    </row>
    <row r="26" customFormat="false" ht="15" hidden="false" customHeight="false" outlineLevel="0" collapsed="false">
      <c r="A26" s="6" t="s">
        <v>44</v>
      </c>
      <c r="B26" s="7" t="n">
        <f aca="false">Projection!F16</f>
        <v>44243504.7692308</v>
      </c>
      <c r="C26" s="6" t="s">
        <v>45</v>
      </c>
    </row>
    <row r="27" customFormat="false" ht="15" hidden="false" customHeight="false" outlineLevel="0" collapsed="false">
      <c r="A27" s="6"/>
      <c r="B27" s="7" t="n">
        <f aca="false">Projection!F20</f>
        <v>57989470.0558366</v>
      </c>
      <c r="C27" s="6" t="s">
        <v>46</v>
      </c>
    </row>
    <row r="28" customFormat="false" ht="15" hidden="false" customHeight="false" outlineLevel="0" collapsed="false">
      <c r="A28" s="6" t="s">
        <v>47</v>
      </c>
      <c r="B28" s="11" t="n">
        <f aca="false">Projection!G16</f>
        <v>331826.285769231</v>
      </c>
      <c r="C28" s="6"/>
    </row>
    <row r="29" customFormat="false" ht="15" hidden="false" customHeight="false" outlineLevel="0" collapsed="false">
      <c r="A29" s="6"/>
      <c r="B29" s="11" t="n">
        <f aca="false">Projection!G20</f>
        <v>434921.025418775</v>
      </c>
      <c r="C29" s="6"/>
    </row>
    <row r="31" customFormat="false" ht="15" hidden="false" customHeight="false" outlineLevel="0" collapsed="false">
      <c r="A31" s="12" t="s">
        <v>48</v>
      </c>
      <c r="B31" s="13"/>
      <c r="C31" s="13"/>
    </row>
    <row r="32" customFormat="false" ht="30" hidden="false" customHeight="true" outlineLevel="0" collapsed="false">
      <c r="A32" s="14" t="s">
        <v>49</v>
      </c>
      <c r="B32" s="14"/>
      <c r="C32" s="14"/>
    </row>
    <row r="33" customFormat="false" ht="30" hidden="false" customHeight="true" outlineLevel="0" collapsed="false">
      <c r="A33" s="14" t="s">
        <v>50</v>
      </c>
      <c r="B33" s="14"/>
      <c r="C33" s="14"/>
    </row>
    <row r="34" customFormat="false" ht="30" hidden="false" customHeight="true" outlineLevel="0" collapsed="false">
      <c r="A34" s="14" t="s">
        <v>51</v>
      </c>
      <c r="B34" s="14"/>
      <c r="C34" s="14"/>
    </row>
    <row r="35" customFormat="false" ht="30" hidden="false" customHeight="true" outlineLevel="0" collapsed="false">
      <c r="A35" s="14" t="s">
        <v>52</v>
      </c>
      <c r="B35" s="14"/>
      <c r="C35" s="14"/>
    </row>
    <row r="36" customFormat="false" ht="30" hidden="false" customHeight="true" outlineLevel="0" collapsed="false">
      <c r="A36" s="14" t="s">
        <v>53</v>
      </c>
      <c r="B36" s="14"/>
      <c r="C36" s="14"/>
    </row>
    <row r="37" customFormat="false" ht="30" hidden="false" customHeight="true" outlineLevel="0" collapsed="false">
      <c r="A37" s="14" t="s">
        <v>54</v>
      </c>
      <c r="B37" s="14"/>
      <c r="C37" s="14"/>
    </row>
    <row r="38" customFormat="false" ht="30" hidden="false" customHeight="true" outlineLevel="0" collapsed="false">
      <c r="A38" s="14" t="s">
        <v>55</v>
      </c>
      <c r="B38" s="14"/>
      <c r="C38" s="14"/>
    </row>
    <row r="39" customFormat="false" ht="30" hidden="false" customHeight="true" outlineLevel="0" collapsed="false">
      <c r="A39" s="14" t="s">
        <v>56</v>
      </c>
      <c r="B39" s="14"/>
      <c r="C39" s="14"/>
    </row>
    <row r="41" customFormat="false" ht="15" hidden="false" customHeight="false" outlineLevel="0" collapsed="false">
      <c r="A41" s="12" t="s">
        <v>57</v>
      </c>
      <c r="B41" s="13"/>
      <c r="C41" s="13"/>
    </row>
    <row r="42" customFormat="false" ht="15" hidden="false" customHeight="false" outlineLevel="0" collapsed="false">
      <c r="A42" s="15" t="s">
        <v>58</v>
      </c>
      <c r="B42" s="15"/>
      <c r="C42" s="15"/>
    </row>
    <row r="43" customFormat="false" ht="15" hidden="false" customHeight="false" outlineLevel="0" collapsed="false">
      <c r="A43" s="16" t="s">
        <v>59</v>
      </c>
      <c r="B43" s="16"/>
      <c r="C43" s="16"/>
    </row>
    <row r="44" customFormat="false" ht="15" hidden="false" customHeight="false" outlineLevel="0" collapsed="false">
      <c r="A44" s="16" t="s">
        <v>60</v>
      </c>
      <c r="B44" s="16"/>
      <c r="C44" s="16"/>
    </row>
    <row r="45" customFormat="false" ht="15" hidden="false" customHeight="false" outlineLevel="0" collapsed="false">
      <c r="A45" s="16" t="s">
        <v>61</v>
      </c>
      <c r="B45" s="16"/>
      <c r="C45" s="16"/>
    </row>
    <row r="46" customFormat="false" ht="15" hidden="false" customHeight="false" outlineLevel="0" collapsed="false">
      <c r="A46" s="16" t="s">
        <v>62</v>
      </c>
      <c r="B46" s="16"/>
      <c r="C46" s="16"/>
    </row>
    <row r="48" customFormat="false" ht="15" hidden="false" customHeight="false" outlineLevel="0" collapsed="false">
      <c r="A48" s="12" t="s">
        <v>63</v>
      </c>
      <c r="B48" s="13"/>
      <c r="C48" s="13"/>
    </row>
    <row r="49" customFormat="false" ht="15" hidden="false" customHeight="false" outlineLevel="0" collapsed="false">
      <c r="A49" s="16" t="s">
        <v>64</v>
      </c>
      <c r="B49" s="16"/>
      <c r="C49" s="16"/>
    </row>
    <row r="50" customFormat="false" ht="15" hidden="false" customHeight="false" outlineLevel="0" collapsed="false">
      <c r="A50" s="16" t="s">
        <v>65</v>
      </c>
      <c r="B50" s="16"/>
      <c r="C50" s="16"/>
    </row>
    <row r="51" customFormat="false" ht="15" hidden="false" customHeight="false" outlineLevel="0" collapsed="false">
      <c r="A51" s="16" t="s">
        <v>66</v>
      </c>
      <c r="B51" s="16"/>
      <c r="C51" s="16"/>
    </row>
    <row r="53" customFormat="false" ht="15" hidden="false" customHeight="false" outlineLevel="0" collapsed="false">
      <c r="A53" s="12" t="s">
        <v>67</v>
      </c>
      <c r="B53" s="13"/>
      <c r="C53" s="13"/>
    </row>
    <row r="54" customFormat="false" ht="15" hidden="false" customHeight="false" outlineLevel="0" collapsed="false">
      <c r="A54" s="17" t="s">
        <v>68</v>
      </c>
      <c r="B54" s="16" t="s">
        <v>69</v>
      </c>
      <c r="C54" s="16"/>
    </row>
    <row r="55" customFormat="false" ht="15" hidden="false" customHeight="false" outlineLevel="0" collapsed="false">
      <c r="A55" s="17" t="s">
        <v>70</v>
      </c>
      <c r="B55" s="16" t="s">
        <v>71</v>
      </c>
      <c r="C55" s="16"/>
    </row>
    <row r="56" customFormat="false" ht="15" hidden="false" customHeight="false" outlineLevel="0" collapsed="false">
      <c r="A56" s="17" t="s">
        <v>72</v>
      </c>
      <c r="B56" s="16" t="s">
        <v>73</v>
      </c>
      <c r="C56" s="16"/>
    </row>
    <row r="57" customFormat="false" ht="15" hidden="false" customHeight="false" outlineLevel="0" collapsed="false">
      <c r="A57" s="17" t="s">
        <v>74</v>
      </c>
      <c r="B57" s="16" t="s">
        <v>75</v>
      </c>
      <c r="C57" s="16"/>
    </row>
    <row r="58" customFormat="false" ht="15" hidden="false" customHeight="false" outlineLevel="0" collapsed="false">
      <c r="A58" s="17" t="s">
        <v>76</v>
      </c>
      <c r="B58" s="16" t="s">
        <v>77</v>
      </c>
      <c r="C58" s="16"/>
    </row>
    <row r="59" customFormat="false" ht="15" hidden="false" customHeight="false" outlineLevel="0" collapsed="false">
      <c r="A59" s="17" t="s">
        <v>78</v>
      </c>
      <c r="B59" s="16" t="s">
        <v>79</v>
      </c>
      <c r="C59" s="16"/>
    </row>
    <row r="60" customFormat="false" ht="15" hidden="false" customHeight="false" outlineLevel="0" collapsed="false">
      <c r="A60" s="17" t="s">
        <v>80</v>
      </c>
      <c r="B60" s="16" t="s">
        <v>81</v>
      </c>
      <c r="C60" s="16"/>
    </row>
    <row r="61" customFormat="false" ht="15" hidden="false" customHeight="false" outlineLevel="0" collapsed="false">
      <c r="A61" s="17" t="s">
        <v>82</v>
      </c>
      <c r="B61" s="16" t="s">
        <v>83</v>
      </c>
      <c r="C61" s="16"/>
    </row>
    <row r="62" customFormat="false" ht="15" hidden="false" customHeight="false" outlineLevel="0" collapsed="false">
      <c r="A62" s="17" t="s">
        <v>84</v>
      </c>
      <c r="B62" s="16" t="s">
        <v>85</v>
      </c>
      <c r="C62" s="16"/>
    </row>
  </sheetData>
  <mergeCells count="26">
    <mergeCell ref="A5:C5"/>
    <mergeCell ref="A32:C32"/>
    <mergeCell ref="A33:C33"/>
    <mergeCell ref="A34:C34"/>
    <mergeCell ref="A35:C35"/>
    <mergeCell ref="A36:C36"/>
    <mergeCell ref="A37:C37"/>
    <mergeCell ref="A38:C38"/>
    <mergeCell ref="A39:C39"/>
    <mergeCell ref="A42:C42"/>
    <mergeCell ref="A43:C43"/>
    <mergeCell ref="A44:C44"/>
    <mergeCell ref="A45:C45"/>
    <mergeCell ref="A46:C46"/>
    <mergeCell ref="A49:C49"/>
    <mergeCell ref="A50:C50"/>
    <mergeCell ref="A51:C5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9" min="7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5.05" hidden="false" customHeight="fals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</row>
    <row r="5" customFormat="false" ht="15" hidden="false" customHeight="false" outlineLevel="0" collapsed="false">
      <c r="A5" s="18" t="n">
        <v>2016</v>
      </c>
      <c r="B5" s="19" t="n">
        <f aca="false">SUMIFS(Purchases!$H$5:$H$24,Purchases!$A$5:$A$24,A5)</f>
        <v>9233000</v>
      </c>
      <c r="C5" s="19" t="n">
        <f aca="false">SUMIFS(Purchases!$H$5:$H$24,Purchases!$A$5:$A$24,A5,Purchases!$B$5:$B$24,"CBP")</f>
        <v>0</v>
      </c>
      <c r="D5" s="19" t="n">
        <f aca="false">B5-C5</f>
        <v>9233000</v>
      </c>
      <c r="E5" s="20" t="n">
        <f aca="false">IF(B5&gt;0,C5/B5,"")</f>
        <v>0</v>
      </c>
      <c r="F5" s="18" t="n">
        <f aca="false">SUMIFS(Purchases!$G$5:$G$24,Purchases!$A$5:$A$24,A5)</f>
        <v>1</v>
      </c>
      <c r="G5" s="21" t="n">
        <v>0</v>
      </c>
      <c r="H5" s="19" t="n">
        <f aca="false">SUMIFS('Contract Sales'!$I$6:$I$15,'Contract Sales'!$H$6:$H$15,A5)</f>
        <v>0</v>
      </c>
      <c r="I5" s="19" t="n">
        <f aca="false">SUMIFS('Contract Sales'!$J$6:$J$15,'Contract Sales'!$H$6:$H$15,A5)</f>
        <v>0</v>
      </c>
      <c r="J5" s="19" t="n">
        <f aca="false">SUMIFS('Contract Sales'!$L$6:$L$15,'Contract Sales'!$H$6:$H$15,A5)</f>
        <v>0</v>
      </c>
      <c r="K5" s="19" t="n">
        <f aca="false">J5*Projection!$C$9</f>
        <v>0</v>
      </c>
      <c r="L5" s="19" t="n">
        <f aca="false">SUMIFS('Adjacent Spend'!$D$5:$D$86,'Adjacent Spend'!$A$5:$A$86,"Civilian",'Adjacent Spend'!$C$5:$C$86,A5)</f>
        <v>40671275.02</v>
      </c>
    </row>
    <row r="6" customFormat="false" ht="15" hidden="false" customHeight="false" outlineLevel="0" collapsed="false">
      <c r="A6" s="18" t="n">
        <v>2017</v>
      </c>
      <c r="B6" s="19" t="n">
        <f aca="false">SUMIFS(Purchases!$H$5:$H$24,Purchases!$A$5:$A$24,A6)</f>
        <v>0</v>
      </c>
      <c r="C6" s="19" t="n">
        <f aca="false">SUMIFS(Purchases!$H$5:$H$24,Purchases!$A$5:$A$24,A6,Purchases!$B$5:$B$24,"CBP")</f>
        <v>0</v>
      </c>
      <c r="D6" s="19" t="n">
        <f aca="false">B6-C6</f>
        <v>0</v>
      </c>
      <c r="E6" s="20" t="str">
        <f aca="false">IF(B6&gt;0,C6/B6,"")</f>
        <v/>
      </c>
      <c r="F6" s="18" t="n">
        <f aca="false">SUMIFS(Purchases!$G$5:$G$24,Purchases!$A$5:$A$24,A6)</f>
        <v>0</v>
      </c>
      <c r="G6" s="21" t="n">
        <v>0</v>
      </c>
      <c r="H6" s="19" t="n">
        <f aca="false">SUMIFS('Contract Sales'!$I$6:$I$15,'Contract Sales'!$H$6:$H$15,A6)</f>
        <v>0</v>
      </c>
      <c r="I6" s="19" t="n">
        <f aca="false">SUMIFS('Contract Sales'!$J$6:$J$15,'Contract Sales'!$H$6:$H$15,A6)</f>
        <v>0</v>
      </c>
      <c r="J6" s="19" t="n">
        <f aca="false">SUMIFS('Contract Sales'!$L$6:$L$15,'Contract Sales'!$H$6:$H$15,A6)</f>
        <v>0</v>
      </c>
      <c r="K6" s="19" t="n">
        <f aca="false">J6*Projection!$C$9</f>
        <v>0</v>
      </c>
      <c r="L6" s="19" t="n">
        <f aca="false">SUMIFS('Adjacent Spend'!$D$5:$D$86,'Adjacent Spend'!$A$5:$A$86,"Civilian",'Adjacent Spend'!$C$5:$C$86,A6)</f>
        <v>60433531.36</v>
      </c>
    </row>
    <row r="7" customFormat="false" ht="15" hidden="false" customHeight="false" outlineLevel="0" collapsed="false">
      <c r="A7" s="18" t="n">
        <v>2018</v>
      </c>
      <c r="B7" s="19" t="n">
        <f aca="false">SUMIFS(Purchases!$H$5:$H$24,Purchases!$A$5:$A$24,A7)</f>
        <v>73197000</v>
      </c>
      <c r="C7" s="19" t="n">
        <f aca="false">SUMIFS(Purchases!$H$5:$H$24,Purchases!$A$5:$A$24,A7,Purchases!$B$5:$B$24,"CBP")</f>
        <v>45960000</v>
      </c>
      <c r="D7" s="19" t="n">
        <f aca="false">B7-C7</f>
        <v>27237000</v>
      </c>
      <c r="E7" s="20" t="n">
        <f aca="false">IF(B7&gt;0,C7/B7,"")</f>
        <v>0.627894585843682</v>
      </c>
      <c r="F7" s="18" t="n">
        <f aca="false">SUMIFS(Purchases!$G$5:$G$24,Purchases!$A$5:$A$24,A7)</f>
        <v>11</v>
      </c>
      <c r="G7" s="21" t="n">
        <v>45958532.6</v>
      </c>
      <c r="H7" s="19" t="n">
        <f aca="false">SUMIFS('Contract Sales'!$I$6:$I$15,'Contract Sales'!$H$6:$H$15,A7)</f>
        <v>0</v>
      </c>
      <c r="I7" s="19" t="n">
        <f aca="false">SUMIFS('Contract Sales'!$J$6:$J$15,'Contract Sales'!$H$6:$H$15,A7)</f>
        <v>0</v>
      </c>
      <c r="J7" s="19" t="n">
        <f aca="false">SUMIFS('Contract Sales'!$L$6:$L$15,'Contract Sales'!$H$6:$H$15,A7)</f>
        <v>0</v>
      </c>
      <c r="K7" s="19" t="n">
        <f aca="false">J7*Projection!$C$9</f>
        <v>0</v>
      </c>
      <c r="L7" s="19" t="n">
        <f aca="false">SUMIFS('Adjacent Spend'!$D$5:$D$86,'Adjacent Spend'!$A$5:$A$86,"Civilian",'Adjacent Spend'!$C$5:$C$86,A7)</f>
        <v>63896466.01</v>
      </c>
    </row>
    <row r="8" customFormat="false" ht="15" hidden="false" customHeight="false" outlineLevel="0" collapsed="false">
      <c r="A8" s="18" t="n">
        <v>2019</v>
      </c>
      <c r="B8" s="19" t="n">
        <f aca="false">SUMIFS(Purchases!$H$5:$H$24,Purchases!$A$5:$A$24,A8)</f>
        <v>92301000</v>
      </c>
      <c r="C8" s="19" t="n">
        <f aca="false">SUMIFS(Purchases!$H$5:$H$24,Purchases!$A$5:$A$24,A8,Purchases!$B$5:$B$24,"CBP")</f>
        <v>65720000</v>
      </c>
      <c r="D8" s="19" t="n">
        <f aca="false">B8-C8</f>
        <v>26581000</v>
      </c>
      <c r="E8" s="20" t="n">
        <f aca="false">IF(B8&gt;0,C8/B8,"")</f>
        <v>0.712018287992546</v>
      </c>
      <c r="F8" s="18" t="n">
        <f aca="false">SUMIFS(Purchases!$G$5:$G$24,Purchases!$A$5:$A$24,A8)</f>
        <v>14</v>
      </c>
      <c r="G8" s="21" t="n">
        <v>77413528.56</v>
      </c>
      <c r="H8" s="19" t="n">
        <f aca="false">SUMIFS('Contract Sales'!$I$6:$I$15,'Contract Sales'!$H$6:$H$15,A8)</f>
        <v>0</v>
      </c>
      <c r="I8" s="19" t="n">
        <f aca="false">SUMIFS('Contract Sales'!$J$6:$J$15,'Contract Sales'!$H$6:$H$15,A8)</f>
        <v>0</v>
      </c>
      <c r="J8" s="19" t="n">
        <f aca="false">SUMIFS('Contract Sales'!$L$6:$L$15,'Contract Sales'!$H$6:$H$15,A8)</f>
        <v>0</v>
      </c>
      <c r="K8" s="19" t="n">
        <f aca="false">J8*Projection!$C$9</f>
        <v>0</v>
      </c>
      <c r="L8" s="19" t="n">
        <f aca="false">SUMIFS('Adjacent Spend'!$D$5:$D$86,'Adjacent Spend'!$A$5:$A$86,"Civilian",'Adjacent Spend'!$C$5:$C$86,A8)</f>
        <v>92221156.04</v>
      </c>
    </row>
    <row r="9" customFormat="false" ht="15" hidden="false" customHeight="false" outlineLevel="0" collapsed="false">
      <c r="A9" s="18" t="n">
        <v>2020</v>
      </c>
      <c r="B9" s="19" t="n">
        <f aca="false">SUMIFS(Purchases!$H$5:$H$24,Purchases!$A$5:$A$24,A9)</f>
        <v>0</v>
      </c>
      <c r="C9" s="19" t="n">
        <f aca="false">SUMIFS(Purchases!$H$5:$H$24,Purchases!$A$5:$A$24,A9,Purchases!$B$5:$B$24,"CBP")</f>
        <v>0</v>
      </c>
      <c r="D9" s="19" t="n">
        <f aca="false">B9-C9</f>
        <v>0</v>
      </c>
      <c r="E9" s="20" t="str">
        <f aca="false">IF(B9&gt;0,C9/B9,"")</f>
        <v/>
      </c>
      <c r="F9" s="18" t="n">
        <f aca="false">SUMIFS(Purchases!$G$5:$G$24,Purchases!$A$5:$A$24,A9)</f>
        <v>0</v>
      </c>
      <c r="G9" s="21" t="n">
        <v>6649394.42</v>
      </c>
      <c r="H9" s="19" t="n">
        <f aca="false">SUMIFS('Contract Sales'!$I$6:$I$15,'Contract Sales'!$H$6:$H$15,A9)</f>
        <v>26056656</v>
      </c>
      <c r="I9" s="19" t="n">
        <f aca="false">SUMIFS('Contract Sales'!$J$6:$J$15,'Contract Sales'!$H$6:$H$15,A9)</f>
        <v>8160589</v>
      </c>
      <c r="J9" s="19" t="n">
        <f aca="false">SUMIFS('Contract Sales'!$L$6:$L$15,'Contract Sales'!$H$6:$H$15,A9)</f>
        <v>34217245</v>
      </c>
      <c r="K9" s="19" t="n">
        <f aca="false">J9*Projection!$C$9</f>
        <v>256629.3375</v>
      </c>
      <c r="L9" s="19" t="n">
        <f aca="false">SUMIFS('Adjacent Spend'!$D$5:$D$86,'Adjacent Spend'!$A$5:$A$86,"Civilian",'Adjacent Spend'!$C$5:$C$86,A9)</f>
        <v>93168006.21</v>
      </c>
    </row>
    <row r="10" customFormat="false" ht="15" hidden="false" customHeight="false" outlineLevel="0" collapsed="false">
      <c r="A10" s="18" t="n">
        <v>2021</v>
      </c>
      <c r="B10" s="19" t="n">
        <f aca="false">SUMIFS(Purchases!$H$5:$H$24,Purchases!$A$5:$A$24,A10)</f>
        <v>85808000</v>
      </c>
      <c r="C10" s="19" t="n">
        <f aca="false">SUMIFS(Purchases!$H$5:$H$24,Purchases!$A$5:$A$24,A10,Purchases!$B$5:$B$24,"CBP")</f>
        <v>63590000</v>
      </c>
      <c r="D10" s="19" t="n">
        <f aca="false">B10-C10</f>
        <v>22218000</v>
      </c>
      <c r="E10" s="20" t="n">
        <f aca="false">IF(B10&gt;0,C10/B10,"")</f>
        <v>0.741073093417863</v>
      </c>
      <c r="F10" s="18" t="n">
        <f aca="false">SUMIFS(Purchases!$G$5:$G$24,Purchases!$A$5:$A$24,A10)</f>
        <v>13</v>
      </c>
      <c r="G10" s="21" t="n">
        <v>49414872.9</v>
      </c>
      <c r="H10" s="19" t="n">
        <f aca="false">SUMIFS('Contract Sales'!$I$6:$I$15,'Contract Sales'!$H$6:$H$15,A10)</f>
        <v>66255243</v>
      </c>
      <c r="I10" s="19" t="n">
        <f aca="false">SUMIFS('Contract Sales'!$J$6:$J$15,'Contract Sales'!$H$6:$H$15,A10)</f>
        <v>10417913</v>
      </c>
      <c r="J10" s="19" t="n">
        <f aca="false">SUMIFS('Contract Sales'!$L$6:$L$15,'Contract Sales'!$H$6:$H$15,A10)</f>
        <v>76673156</v>
      </c>
      <c r="K10" s="19" t="n">
        <f aca="false">J10*Projection!$C$9</f>
        <v>575048.67</v>
      </c>
      <c r="L10" s="19" t="n">
        <f aca="false">SUMIFS('Adjacent Spend'!$D$5:$D$86,'Adjacent Spend'!$A$5:$A$86,"Civilian",'Adjacent Spend'!$C$5:$C$86,A10)</f>
        <v>191742905.99</v>
      </c>
    </row>
    <row r="11" customFormat="false" ht="15" hidden="false" customHeight="false" outlineLevel="0" collapsed="false">
      <c r="A11" s="18" t="n">
        <v>2022</v>
      </c>
      <c r="B11" s="19" t="n">
        <f aca="false">SUMIFS(Purchases!$H$5:$H$24,Purchases!$A$5:$A$24,A11)</f>
        <v>45142000</v>
      </c>
      <c r="C11" s="19" t="n">
        <f aca="false">SUMIFS(Purchases!$H$5:$H$24,Purchases!$A$5:$A$24,A11,Purchases!$B$5:$B$24,"CBP")</f>
        <v>0</v>
      </c>
      <c r="D11" s="19" t="n">
        <f aca="false">B11-C11</f>
        <v>45142000</v>
      </c>
      <c r="E11" s="20" t="n">
        <f aca="false">IF(B11&gt;0,C11/B11,"")</f>
        <v>0</v>
      </c>
      <c r="F11" s="18" t="n">
        <f aca="false">SUMIFS(Purchases!$G$5:$G$24,Purchases!$A$5:$A$24,A11)</f>
        <v>4</v>
      </c>
      <c r="G11" s="21" t="n">
        <v>19307589.57</v>
      </c>
      <c r="H11" s="19" t="n">
        <f aca="false">SUMIFS('Contract Sales'!$I$6:$I$15,'Contract Sales'!$H$6:$H$15,A11)</f>
        <v>16304729</v>
      </c>
      <c r="I11" s="19" t="n">
        <f aca="false">SUMIFS('Contract Sales'!$J$6:$J$15,'Contract Sales'!$H$6:$H$15,A11)</f>
        <v>0</v>
      </c>
      <c r="J11" s="19" t="n">
        <f aca="false">SUMIFS('Contract Sales'!$L$6:$L$15,'Contract Sales'!$H$6:$H$15,A11)</f>
        <v>22653101</v>
      </c>
      <c r="K11" s="19" t="n">
        <f aca="false">J11*Projection!$C$9</f>
        <v>169898.2575</v>
      </c>
      <c r="L11" s="19" t="n">
        <f aca="false">SUMIFS('Adjacent Spend'!$D$5:$D$86,'Adjacent Spend'!$A$5:$A$86,"Civilian",'Adjacent Spend'!$C$5:$C$86,A11)</f>
        <v>90439443.43</v>
      </c>
    </row>
    <row r="12" customFormat="false" ht="15" hidden="false" customHeight="false" outlineLevel="0" collapsed="false">
      <c r="A12" s="18" t="n">
        <v>2023</v>
      </c>
      <c r="B12" s="19" t="n">
        <f aca="false">SUMIFS(Purchases!$H$5:$H$24,Purchases!$A$5:$A$24,A12)</f>
        <v>52270000</v>
      </c>
      <c r="C12" s="19" t="n">
        <f aca="false">SUMIFS(Purchases!$H$5:$H$24,Purchases!$A$5:$A$24,A12,Purchases!$B$5:$B$24,"CBP")</f>
        <v>52270000</v>
      </c>
      <c r="D12" s="19" t="n">
        <f aca="false">B12-C12</f>
        <v>0</v>
      </c>
      <c r="E12" s="20" t="n">
        <f aca="false">IF(B12&gt;0,C12/B12,"")</f>
        <v>1</v>
      </c>
      <c r="F12" s="18" t="n">
        <f aca="false">SUMIFS(Purchases!$G$5:$G$24,Purchases!$A$5:$A$24,A12)</f>
        <v>6</v>
      </c>
      <c r="G12" s="21" t="n">
        <v>9523159.78</v>
      </c>
      <c r="H12" s="19" t="n">
        <f aca="false">SUMIFS('Contract Sales'!$I$6:$I$15,'Contract Sales'!$H$6:$H$15,A12)</f>
        <v>53148289</v>
      </c>
      <c r="I12" s="19" t="n">
        <f aca="false">SUMIFS('Contract Sales'!$J$6:$J$15,'Contract Sales'!$H$6:$H$15,A12)</f>
        <v>22683187</v>
      </c>
      <c r="J12" s="19" t="n">
        <f aca="false">SUMIFS('Contract Sales'!$L$6:$L$15,'Contract Sales'!$H$6:$H$15,A12)</f>
        <v>75831476</v>
      </c>
      <c r="K12" s="19" t="n">
        <f aca="false">J12*Projection!$C$9</f>
        <v>568736.07</v>
      </c>
      <c r="L12" s="19" t="n">
        <f aca="false">SUMIFS('Adjacent Spend'!$D$5:$D$86,'Adjacent Spend'!$A$5:$A$86,"Civilian",'Adjacent Spend'!$C$5:$C$86,A12)</f>
        <v>116068031.49</v>
      </c>
    </row>
    <row r="13" customFormat="false" ht="15" hidden="false" customHeight="false" outlineLevel="0" collapsed="false">
      <c r="A13" s="18" t="n">
        <v>2024</v>
      </c>
      <c r="B13" s="19" t="n">
        <f aca="false">SUMIFS(Purchases!$H$5:$H$24,Purchases!$A$5:$A$24,A13)</f>
        <v>2850000</v>
      </c>
      <c r="C13" s="19" t="n">
        <f aca="false">SUMIFS(Purchases!$H$5:$H$24,Purchases!$A$5:$A$24,A13,Purchases!$B$5:$B$24,"CBP")</f>
        <v>0</v>
      </c>
      <c r="D13" s="19" t="n">
        <f aca="false">B13-C13</f>
        <v>2850000</v>
      </c>
      <c r="E13" s="20" t="n">
        <f aca="false">IF(B13&gt;0,C13/B13,"")</f>
        <v>0</v>
      </c>
      <c r="F13" s="18" t="n">
        <f aca="false">SUMIFS(Purchases!$G$5:$G$24,Purchases!$A$5:$A$24,A13)</f>
        <v>1</v>
      </c>
      <c r="G13" s="21" t="n">
        <v>24630323.34</v>
      </c>
      <c r="H13" s="19" t="n">
        <f aca="false">SUMIFS('Contract Sales'!$I$6:$I$15,'Contract Sales'!$H$6:$H$15,A13)</f>
        <v>12296946</v>
      </c>
      <c r="I13" s="19" t="n">
        <f aca="false">SUMIFS('Contract Sales'!$J$6:$J$15,'Contract Sales'!$H$6:$H$15,A13)</f>
        <v>22154653</v>
      </c>
      <c r="J13" s="19" t="n">
        <f aca="false">SUMIFS('Contract Sales'!$L$6:$L$15,'Contract Sales'!$H$6:$H$15,A13)</f>
        <v>34451599</v>
      </c>
      <c r="K13" s="19" t="n">
        <f aca="false">J13*Projection!$C$9</f>
        <v>258386.9925</v>
      </c>
      <c r="L13" s="19" t="n">
        <f aca="false">SUMIFS('Adjacent Spend'!$D$5:$D$86,'Adjacent Spend'!$A$5:$A$86,"Civilian",'Adjacent Spend'!$C$5:$C$86,A13)</f>
        <v>108188255.09</v>
      </c>
    </row>
    <row r="14" customFormat="false" ht="15" hidden="false" customHeight="false" outlineLevel="0" collapsed="false">
      <c r="A14" s="18" t="n">
        <v>2025</v>
      </c>
      <c r="B14" s="19" t="n">
        <f aca="false">SUMIFS(Purchases!$H$5:$H$24,Purchases!$A$5:$A$24,A14)</f>
        <v>0</v>
      </c>
      <c r="C14" s="19" t="n">
        <f aca="false">SUMIFS(Purchases!$H$5:$H$24,Purchases!$A$5:$A$24,A14,Purchases!$B$5:$B$24,"CBP")</f>
        <v>0</v>
      </c>
      <c r="D14" s="19" t="n">
        <f aca="false">B14-C14</f>
        <v>0</v>
      </c>
      <c r="E14" s="20" t="str">
        <f aca="false">IF(B14&gt;0,C14/B14,"")</f>
        <v/>
      </c>
      <c r="F14" s="18" t="n">
        <f aca="false">SUMIFS(Purchases!$G$5:$G$24,Purchases!$A$5:$A$24,A14)</f>
        <v>0</v>
      </c>
      <c r="G14" s="21" t="n">
        <v>19828716.72</v>
      </c>
      <c r="H14" s="19" t="n">
        <f aca="false">SUMIFS('Contract Sales'!$I$6:$I$15,'Contract Sales'!$H$6:$H$15,A14)</f>
        <v>884201</v>
      </c>
      <c r="I14" s="19" t="n">
        <f aca="false">SUMIFS('Contract Sales'!$J$6:$J$15,'Contract Sales'!$H$6:$H$15,A14)</f>
        <v>10450824</v>
      </c>
      <c r="J14" s="19" t="n">
        <f aca="false">SUMIFS('Contract Sales'!$L$6:$L$15,'Contract Sales'!$H$6:$H$15,A14)</f>
        <v>11335025</v>
      </c>
      <c r="K14" s="19" t="n">
        <f aca="false">J14*Projection!$C$9</f>
        <v>85012.6875</v>
      </c>
      <c r="L14" s="19" t="n">
        <f aca="false">SUMIFS('Adjacent Spend'!$D$5:$D$86,'Adjacent Spend'!$A$5:$A$86,"Civilian",'Adjacent Spend'!$C$5:$C$86,A14)</f>
        <v>105066600.24</v>
      </c>
    </row>
    <row r="15" customFormat="false" ht="15" hidden="false" customHeight="false" outlineLevel="0" collapsed="false">
      <c r="A15" s="18" t="n">
        <v>2026</v>
      </c>
      <c r="B15" s="19" t="n">
        <f aca="false">SUMIFS(Purchases!$H$5:$H$24,Purchases!$A$5:$A$24,A15)</f>
        <v>148750000</v>
      </c>
      <c r="C15" s="19" t="n">
        <f aca="false">SUMIFS(Purchases!$H$5:$H$24,Purchases!$A$5:$A$24,A15,Purchases!$B$5:$B$24,"CBP")</f>
        <v>95510000</v>
      </c>
      <c r="D15" s="19" t="n">
        <f aca="false">B15-C15</f>
        <v>53240000</v>
      </c>
      <c r="E15" s="20" t="n">
        <f aca="false">IF(B15&gt;0,C15/B15,"")</f>
        <v>0.642084033613445</v>
      </c>
      <c r="F15" s="18" t="n">
        <f aca="false">SUMIFS(Purchases!$G$5:$G$24,Purchases!$A$5:$A$24,A15)</f>
        <v>10</v>
      </c>
      <c r="G15" s="21" t="n">
        <v>98616814.35</v>
      </c>
      <c r="H15" s="19" t="n">
        <f aca="false">SUMIFS('Contract Sales'!$I$6:$I$15,'Contract Sales'!$H$6:$H$15,A15)</f>
        <v>0</v>
      </c>
      <c r="I15" s="19" t="n">
        <f aca="false">SUMIFS('Contract Sales'!$J$6:$J$15,'Contract Sales'!$H$6:$H$15,A15)</f>
        <v>38769551</v>
      </c>
      <c r="J15" s="19" t="n">
        <f aca="false">SUMIFS('Contract Sales'!$L$6:$L$15,'Contract Sales'!$H$6:$H$15,A15)</f>
        <v>38769551</v>
      </c>
      <c r="K15" s="19" t="n">
        <f aca="false">J15*Projection!$C$9</f>
        <v>290771.6325</v>
      </c>
      <c r="L15" s="19" t="n">
        <f aca="false">SUMIFS('Adjacent Spend'!$D$5:$D$86,'Adjacent Spend'!$A$5:$A$86,"Civilian",'Adjacent Spend'!$C$5:$C$86,A15)</f>
        <v>130955509.92</v>
      </c>
    </row>
    <row r="16" customFormat="false" ht="15" hidden="false" customHeight="false" outlineLevel="0" collapsed="false">
      <c r="A16" s="22" t="s">
        <v>100</v>
      </c>
      <c r="B16" s="23" t="n">
        <f aca="false">SUM(B5:B15)</f>
        <v>509551000</v>
      </c>
      <c r="C16" s="23" t="n">
        <f aca="false">SUM(C5:C15)</f>
        <v>323050000</v>
      </c>
      <c r="D16" s="23" t="n">
        <f aca="false">SUM(D5:D15)</f>
        <v>186501000</v>
      </c>
      <c r="E16" s="24" t="n">
        <f aca="false">C16/B16</f>
        <v>0.633989531960491</v>
      </c>
      <c r="F16" s="22" t="n">
        <f aca="false">SUM(F5:F15)</f>
        <v>60</v>
      </c>
      <c r="G16" s="23" t="n">
        <f aca="false">SUM(G5:G15)</f>
        <v>351342932.24</v>
      </c>
      <c r="H16" s="23" t="n">
        <f aca="false">SUM(H5:H15)</f>
        <v>174946064</v>
      </c>
      <c r="I16" s="23" t="n">
        <f aca="false">SUM(I5:I15)</f>
        <v>112636717</v>
      </c>
      <c r="J16" s="23" t="n">
        <f aca="false">SUM(J5:J15)</f>
        <v>293931153</v>
      </c>
      <c r="K16" s="23" t="n">
        <f aca="false">SUM(K5:K15)</f>
        <v>2204483.6475</v>
      </c>
      <c r="L16" s="23" t="n">
        <f aca="false">SUM(L5:L15)</f>
        <v>1092851180.8</v>
      </c>
    </row>
    <row r="17" customFormat="false" ht="15" hidden="false" customHeight="false" outlineLevel="0" collapsed="false">
      <c r="A17" s="18" t="s">
        <v>101</v>
      </c>
      <c r="B17" s="19" t="n">
        <f aca="false">AVERAGE(B5:B15)</f>
        <v>46322818.1818182</v>
      </c>
      <c r="C17" s="19"/>
      <c r="D17" s="19"/>
      <c r="E17" s="18"/>
      <c r="F17" s="18"/>
      <c r="G17" s="19" t="n">
        <f aca="false">AVERAGE(G5:G15)</f>
        <v>31940266.5672727</v>
      </c>
      <c r="H17" s="19"/>
      <c r="I17" s="19"/>
      <c r="J17" s="19"/>
      <c r="K17" s="19"/>
      <c r="L17" s="19"/>
    </row>
    <row r="18" customFormat="false" ht="15" hidden="false" customHeight="false" outlineLevel="0" collapsed="false">
      <c r="A18" s="18" t="s">
        <v>102</v>
      </c>
      <c r="B18" s="19" t="n">
        <f aca="false">MEDIAN(B5:B15)</f>
        <v>45142000</v>
      </c>
      <c r="C18" s="19"/>
      <c r="D18" s="19"/>
      <c r="E18" s="18"/>
      <c r="F18" s="18"/>
      <c r="G18" s="19" t="n">
        <f aca="false">MEDIAN(G5:G15)</f>
        <v>19828716.72</v>
      </c>
      <c r="H18" s="19"/>
      <c r="I18" s="19"/>
      <c r="J18" s="19"/>
      <c r="K18" s="19"/>
      <c r="L18" s="19"/>
    </row>
    <row r="20" customFormat="false" ht="15" hidden="false" customHeight="false" outlineLevel="0" collapsed="false">
      <c r="A20" s="25" t="s">
        <v>103</v>
      </c>
    </row>
    <row r="21" customFormat="false" ht="15" hidden="false" customHeight="false" outlineLevel="0" collapsed="false">
      <c r="A21" s="2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5" min="4" style="0" width="2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7"/>
    <col collapsed="false" customWidth="true" hidden="false" outlineLevel="0" max="13" min="13" style="0" width="48"/>
    <col collapsed="false" customWidth="true" hidden="false" outlineLevel="0" max="14" min="14" style="0" width="50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105</v>
      </c>
    </row>
    <row r="4" customFormat="false" ht="23.85" hidden="false" customHeight="false" outlineLevel="0" collapsed="false">
      <c r="A4" s="5" t="s">
        <v>88</v>
      </c>
      <c r="B4" s="5" t="s">
        <v>106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111</v>
      </c>
      <c r="H4" s="5" t="s">
        <v>112</v>
      </c>
      <c r="I4" s="5" t="s">
        <v>113</v>
      </c>
      <c r="J4" s="5" t="s">
        <v>114</v>
      </c>
      <c r="K4" s="5" t="s">
        <v>115</v>
      </c>
      <c r="L4" s="5" t="s">
        <v>116</v>
      </c>
      <c r="M4" s="5" t="s">
        <v>117</v>
      </c>
      <c r="N4" s="5" t="s">
        <v>118</v>
      </c>
    </row>
    <row r="5" customFormat="false" ht="15" hidden="false" customHeight="false" outlineLevel="0" collapsed="false">
      <c r="A5" s="18" t="n">
        <v>2016</v>
      </c>
      <c r="B5" s="18" t="s">
        <v>119</v>
      </c>
      <c r="C5" s="18" t="s">
        <v>120</v>
      </c>
      <c r="D5" s="18" t="s">
        <v>121</v>
      </c>
      <c r="E5" s="18" t="s">
        <v>122</v>
      </c>
      <c r="F5" s="18" t="s">
        <v>123</v>
      </c>
      <c r="G5" s="18" t="n">
        <v>1</v>
      </c>
      <c r="H5" s="26" t="n">
        <v>4633000</v>
      </c>
      <c r="I5" s="26" t="n">
        <f aca="false">IF(G5&gt;0,H5/G5,"")</f>
        <v>4633000</v>
      </c>
      <c r="J5" s="18" t="n">
        <v>4</v>
      </c>
      <c r="K5" s="18" t="s">
        <v>124</v>
      </c>
      <c r="L5" s="18" t="str">
        <f aca="false">IF(B5="CBP","Yes","No")</f>
        <v>No</v>
      </c>
      <c r="M5" s="18" t="s">
        <v>125</v>
      </c>
      <c r="N5" s="18" t="s">
        <v>126</v>
      </c>
    </row>
    <row r="6" customFormat="false" ht="15" hidden="false" customHeight="false" outlineLevel="0" collapsed="false">
      <c r="A6" s="18" t="n">
        <v>2016</v>
      </c>
      <c r="B6" s="18" t="s">
        <v>127</v>
      </c>
      <c r="C6" s="18" t="s">
        <v>120</v>
      </c>
      <c r="D6" s="18" t="s">
        <v>128</v>
      </c>
      <c r="E6" s="18" t="s">
        <v>129</v>
      </c>
      <c r="F6" s="18" t="s">
        <v>130</v>
      </c>
      <c r="G6" s="18"/>
      <c r="H6" s="26" t="n">
        <v>4600000</v>
      </c>
      <c r="I6" s="26" t="str">
        <f aca="false">IF(G6&gt;0,H6/G6,"")</f>
        <v/>
      </c>
      <c r="J6" s="18" t="n">
        <v>3</v>
      </c>
      <c r="K6" s="18" t="s">
        <v>131</v>
      </c>
      <c r="L6" s="18" t="str">
        <f aca="false">IF(B6="CBP","Yes","No")</f>
        <v>No</v>
      </c>
      <c r="M6" s="18" t="s">
        <v>132</v>
      </c>
      <c r="N6" s="18" t="s">
        <v>133</v>
      </c>
    </row>
    <row r="7" customFormat="false" ht="15" hidden="false" customHeight="false" outlineLevel="0" collapsed="false">
      <c r="A7" s="18" t="n">
        <v>2018</v>
      </c>
      <c r="B7" s="18" t="s">
        <v>90</v>
      </c>
      <c r="C7" s="18" t="s">
        <v>134</v>
      </c>
      <c r="D7" s="18" t="s">
        <v>135</v>
      </c>
      <c r="E7" s="18" t="s">
        <v>136</v>
      </c>
      <c r="F7" s="18" t="s">
        <v>137</v>
      </c>
      <c r="G7" s="18" t="n">
        <v>7</v>
      </c>
      <c r="H7" s="26" t="n">
        <v>45960000</v>
      </c>
      <c r="I7" s="26" t="n">
        <f aca="false">IF(G7&gt;0,H7/G7,"")</f>
        <v>6565714.28571429</v>
      </c>
      <c r="J7" s="18" t="n">
        <v>1</v>
      </c>
      <c r="K7" s="18" t="s">
        <v>124</v>
      </c>
      <c r="L7" s="18" t="str">
        <f aca="false">IF(B7="CBP","Yes","No")</f>
        <v>Yes</v>
      </c>
      <c r="M7" s="18" t="s">
        <v>138</v>
      </c>
      <c r="N7" s="18" t="s">
        <v>139</v>
      </c>
    </row>
    <row r="8" customFormat="false" ht="15" hidden="false" customHeight="false" outlineLevel="0" collapsed="false">
      <c r="A8" s="18" t="n">
        <v>2018</v>
      </c>
      <c r="B8" s="18" t="s">
        <v>140</v>
      </c>
      <c r="C8" s="18" t="s">
        <v>141</v>
      </c>
      <c r="D8" s="18" t="s">
        <v>142</v>
      </c>
      <c r="E8" s="18" t="s">
        <v>143</v>
      </c>
      <c r="F8" s="18" t="s">
        <v>137</v>
      </c>
      <c r="G8" s="18" t="n">
        <v>3</v>
      </c>
      <c r="H8" s="26" t="n">
        <v>18122000</v>
      </c>
      <c r="I8" s="26" t="n">
        <f aca="false">IF(G8&gt;0,H8/G8,"")</f>
        <v>6040666.66666667</v>
      </c>
      <c r="J8" s="18"/>
      <c r="K8" s="18" t="s">
        <v>131</v>
      </c>
      <c r="L8" s="18" t="str">
        <f aca="false">IF(B8="CBP","Yes","No")</f>
        <v>No</v>
      </c>
      <c r="M8" s="18" t="s">
        <v>144</v>
      </c>
      <c r="N8" s="18" t="s">
        <v>145</v>
      </c>
    </row>
    <row r="9" customFormat="false" ht="15" hidden="false" customHeight="false" outlineLevel="0" collapsed="false">
      <c r="A9" s="18" t="n">
        <v>2018</v>
      </c>
      <c r="B9" s="18" t="s">
        <v>146</v>
      </c>
      <c r="C9" s="18" t="s">
        <v>120</v>
      </c>
      <c r="D9" s="18" t="s">
        <v>142</v>
      </c>
      <c r="E9" s="18" t="s">
        <v>147</v>
      </c>
      <c r="F9" s="18" t="s">
        <v>123</v>
      </c>
      <c r="G9" s="18"/>
      <c r="H9" s="26" t="n">
        <v>6820000</v>
      </c>
      <c r="I9" s="26" t="str">
        <f aca="false">IF(G9&gt;0,H9/G9,"")</f>
        <v/>
      </c>
      <c r="J9" s="18" t="n">
        <v>1</v>
      </c>
      <c r="K9" s="18" t="s">
        <v>148</v>
      </c>
      <c r="L9" s="18" t="str">
        <f aca="false">IF(B9="CBP","Yes","No")</f>
        <v>No</v>
      </c>
      <c r="M9" s="18" t="s">
        <v>132</v>
      </c>
      <c r="N9" s="18" t="s">
        <v>149</v>
      </c>
    </row>
    <row r="10" customFormat="false" ht="15" hidden="false" customHeight="false" outlineLevel="0" collapsed="false">
      <c r="A10" s="18" t="n">
        <v>2018</v>
      </c>
      <c r="B10" s="18" t="s">
        <v>150</v>
      </c>
      <c r="C10" s="18" t="s">
        <v>120</v>
      </c>
      <c r="D10" s="18" t="s">
        <v>142</v>
      </c>
      <c r="E10" s="18" t="s">
        <v>147</v>
      </c>
      <c r="F10" s="18" t="s">
        <v>123</v>
      </c>
      <c r="G10" s="18" t="n">
        <v>1</v>
      </c>
      <c r="H10" s="26" t="n">
        <v>2295000</v>
      </c>
      <c r="I10" s="26" t="n">
        <f aca="false">IF(G10&gt;0,H10/G10,"")</f>
        <v>2295000</v>
      </c>
      <c r="J10" s="18" t="n">
        <v>4</v>
      </c>
      <c r="K10" s="18" t="s">
        <v>131</v>
      </c>
      <c r="L10" s="18" t="str">
        <f aca="false">IF(B10="CBP","Yes","No")</f>
        <v>No</v>
      </c>
      <c r="M10" s="18" t="s">
        <v>125</v>
      </c>
      <c r="N10" s="18" t="s">
        <v>151</v>
      </c>
    </row>
    <row r="11" customFormat="false" ht="15" hidden="false" customHeight="false" outlineLevel="0" collapsed="false">
      <c r="A11" s="18" t="n">
        <v>2019</v>
      </c>
      <c r="B11" s="18" t="s">
        <v>90</v>
      </c>
      <c r="C11" s="18" t="s">
        <v>134</v>
      </c>
      <c r="D11" s="18" t="s">
        <v>135</v>
      </c>
      <c r="E11" s="18" t="s">
        <v>136</v>
      </c>
      <c r="F11" s="18" t="s">
        <v>137</v>
      </c>
      <c r="G11" s="18" t="n">
        <v>10</v>
      </c>
      <c r="H11" s="26" t="n">
        <v>65720000</v>
      </c>
      <c r="I11" s="26" t="n">
        <f aca="false">IF(G11&gt;0,H11/G11,"")</f>
        <v>6572000</v>
      </c>
      <c r="J11" s="18" t="n">
        <v>1</v>
      </c>
      <c r="K11" s="18" t="s">
        <v>124</v>
      </c>
      <c r="L11" s="18" t="str">
        <f aca="false">IF(B11="CBP","Yes","No")</f>
        <v>Yes</v>
      </c>
      <c r="M11" s="18" t="s">
        <v>152</v>
      </c>
      <c r="N11" s="18" t="s">
        <v>153</v>
      </c>
    </row>
    <row r="12" customFormat="false" ht="15" hidden="false" customHeight="false" outlineLevel="0" collapsed="false">
      <c r="A12" s="18" t="n">
        <v>2019</v>
      </c>
      <c r="B12" s="18" t="s">
        <v>154</v>
      </c>
      <c r="C12" s="18" t="s">
        <v>134</v>
      </c>
      <c r="D12" s="18" t="s">
        <v>135</v>
      </c>
      <c r="E12" s="18" t="s">
        <v>155</v>
      </c>
      <c r="F12" s="18" t="s">
        <v>137</v>
      </c>
      <c r="G12" s="18" t="n">
        <v>3</v>
      </c>
      <c r="H12" s="26" t="n">
        <v>18480000</v>
      </c>
      <c r="I12" s="26" t="n">
        <f aca="false">IF(G12&gt;0,H12/G12,"")</f>
        <v>6160000</v>
      </c>
      <c r="J12" s="18" t="n">
        <v>1</v>
      </c>
      <c r="K12" s="18" t="s">
        <v>124</v>
      </c>
      <c r="L12" s="18" t="str">
        <f aca="false">IF(B12="CBP","Yes","No")</f>
        <v>No</v>
      </c>
      <c r="M12" s="18" t="s">
        <v>156</v>
      </c>
      <c r="N12" s="18" t="s">
        <v>157</v>
      </c>
    </row>
    <row r="13" customFormat="false" ht="15" hidden="false" customHeight="false" outlineLevel="0" collapsed="false">
      <c r="A13" s="18" t="n">
        <v>2019</v>
      </c>
      <c r="B13" s="18" t="s">
        <v>146</v>
      </c>
      <c r="C13" s="18" t="s">
        <v>141</v>
      </c>
      <c r="D13" s="18" t="s">
        <v>142</v>
      </c>
      <c r="E13" s="18" t="s">
        <v>158</v>
      </c>
      <c r="F13" s="18" t="s">
        <v>137</v>
      </c>
      <c r="G13" s="18" t="n">
        <v>1</v>
      </c>
      <c r="H13" s="26" t="n">
        <v>8101000</v>
      </c>
      <c r="I13" s="26" t="n">
        <f aca="false">IF(G13&gt;0,H13/G13,"")</f>
        <v>8101000</v>
      </c>
      <c r="J13" s="18"/>
      <c r="K13" s="18" t="s">
        <v>124</v>
      </c>
      <c r="L13" s="18" t="str">
        <f aca="false">IF(B13="CBP","Yes","No")</f>
        <v>No</v>
      </c>
      <c r="M13" s="18" t="s">
        <v>125</v>
      </c>
      <c r="N13" s="18" t="s">
        <v>159</v>
      </c>
    </row>
    <row r="14" customFormat="false" ht="15" hidden="false" customHeight="false" outlineLevel="0" collapsed="false">
      <c r="A14" s="18" t="n">
        <v>2021</v>
      </c>
      <c r="B14" s="18" t="s">
        <v>90</v>
      </c>
      <c r="C14" s="18" t="s">
        <v>134</v>
      </c>
      <c r="D14" s="18" t="s">
        <v>135</v>
      </c>
      <c r="E14" s="18" t="s">
        <v>136</v>
      </c>
      <c r="F14" s="18" t="s">
        <v>137</v>
      </c>
      <c r="G14" s="18" t="n">
        <v>9</v>
      </c>
      <c r="H14" s="26" t="n">
        <v>63590000</v>
      </c>
      <c r="I14" s="26" t="n">
        <f aca="false">IF(G14&gt;0,H14/G14,"")</f>
        <v>7065555.55555556</v>
      </c>
      <c r="J14" s="18" t="n">
        <v>1</v>
      </c>
      <c r="K14" s="18" t="s">
        <v>124</v>
      </c>
      <c r="L14" s="18" t="str">
        <f aca="false">IF(B14="CBP","Yes","No")</f>
        <v>Yes</v>
      </c>
      <c r="M14" s="18" t="s">
        <v>160</v>
      </c>
      <c r="N14" s="18" t="s">
        <v>161</v>
      </c>
    </row>
    <row r="15" customFormat="false" ht="15" hidden="false" customHeight="false" outlineLevel="0" collapsed="false">
      <c r="A15" s="18" t="n">
        <v>2021</v>
      </c>
      <c r="B15" s="18" t="s">
        <v>140</v>
      </c>
      <c r="C15" s="18" t="s">
        <v>141</v>
      </c>
      <c r="D15" s="18" t="s">
        <v>142</v>
      </c>
      <c r="E15" s="18" t="s">
        <v>143</v>
      </c>
      <c r="F15" s="18" t="s">
        <v>137</v>
      </c>
      <c r="G15" s="18" t="n">
        <v>2</v>
      </c>
      <c r="H15" s="26" t="n">
        <v>17810000</v>
      </c>
      <c r="I15" s="26" t="n">
        <f aca="false">IF(G15&gt;0,H15/G15,"")</f>
        <v>8905000</v>
      </c>
      <c r="J15" s="18"/>
      <c r="K15" s="18" t="s">
        <v>131</v>
      </c>
      <c r="L15" s="18" t="str">
        <f aca="false">IF(B15="CBP","Yes","No")</f>
        <v>No</v>
      </c>
      <c r="M15" s="18" t="s">
        <v>144</v>
      </c>
      <c r="N15" s="18" t="s">
        <v>162</v>
      </c>
    </row>
    <row r="16" customFormat="false" ht="15" hidden="false" customHeight="false" outlineLevel="0" collapsed="false">
      <c r="A16" s="18" t="n">
        <v>2021</v>
      </c>
      <c r="B16" s="18" t="s">
        <v>150</v>
      </c>
      <c r="C16" s="18" t="s">
        <v>120</v>
      </c>
      <c r="D16" s="18" t="s">
        <v>142</v>
      </c>
      <c r="E16" s="18" t="s">
        <v>158</v>
      </c>
      <c r="F16" s="18" t="s">
        <v>137</v>
      </c>
      <c r="G16" s="18" t="n">
        <v>1</v>
      </c>
      <c r="H16" s="26" t="n">
        <v>3577000</v>
      </c>
      <c r="I16" s="26" t="n">
        <f aca="false">IF(G16&gt;0,H16/G16,"")</f>
        <v>3577000</v>
      </c>
      <c r="J16" s="18" t="n">
        <v>1</v>
      </c>
      <c r="K16" s="18" t="s">
        <v>163</v>
      </c>
      <c r="L16" s="18" t="str">
        <f aca="false">IF(B16="CBP","Yes","No")</f>
        <v>No</v>
      </c>
      <c r="M16" s="18" t="s">
        <v>125</v>
      </c>
      <c r="N16" s="18" t="s">
        <v>164</v>
      </c>
    </row>
    <row r="17" customFormat="false" ht="15" hidden="false" customHeight="false" outlineLevel="0" collapsed="false">
      <c r="A17" s="18" t="n">
        <v>2021</v>
      </c>
      <c r="B17" s="18" t="s">
        <v>165</v>
      </c>
      <c r="C17" s="18" t="s">
        <v>120</v>
      </c>
      <c r="D17" s="18" t="s">
        <v>130</v>
      </c>
      <c r="E17" s="18" t="s">
        <v>166</v>
      </c>
      <c r="F17" s="18" t="s">
        <v>123</v>
      </c>
      <c r="G17" s="18" t="n">
        <v>1</v>
      </c>
      <c r="H17" s="26" t="n">
        <v>831000</v>
      </c>
      <c r="I17" s="26" t="n">
        <f aca="false">IF(G17&gt;0,H17/G17,"")</f>
        <v>831000</v>
      </c>
      <c r="J17" s="18" t="n">
        <v>9</v>
      </c>
      <c r="K17" s="18" t="s">
        <v>131</v>
      </c>
      <c r="L17" s="18" t="str">
        <f aca="false">IF(B17="CBP","Yes","No")</f>
        <v>No</v>
      </c>
      <c r="M17" s="18" t="s">
        <v>125</v>
      </c>
      <c r="N17" s="18" t="s">
        <v>167</v>
      </c>
    </row>
    <row r="18" customFormat="false" ht="15" hidden="false" customHeight="false" outlineLevel="0" collapsed="false">
      <c r="A18" s="18" t="n">
        <v>2022</v>
      </c>
      <c r="B18" s="18" t="s">
        <v>168</v>
      </c>
      <c r="C18" s="18" t="s">
        <v>134</v>
      </c>
      <c r="D18" s="18" t="s">
        <v>135</v>
      </c>
      <c r="E18" s="18" t="s">
        <v>169</v>
      </c>
      <c r="F18" s="18" t="s">
        <v>137</v>
      </c>
      <c r="G18" s="18" t="n">
        <v>1</v>
      </c>
      <c r="H18" s="26" t="n">
        <v>4770000</v>
      </c>
      <c r="I18" s="26" t="n">
        <f aca="false">IF(G18&gt;0,H18/G18,"")</f>
        <v>4770000</v>
      </c>
      <c r="J18" s="18" t="n">
        <v>1</v>
      </c>
      <c r="K18" s="18" t="s">
        <v>124</v>
      </c>
      <c r="L18" s="18" t="str">
        <f aca="false">IF(B18="CBP","Yes","No")</f>
        <v>No</v>
      </c>
      <c r="M18" s="18" t="s">
        <v>170</v>
      </c>
      <c r="N18" s="18" t="s">
        <v>171</v>
      </c>
    </row>
    <row r="19" customFormat="false" ht="15" hidden="false" customHeight="false" outlineLevel="0" collapsed="false">
      <c r="A19" s="18" t="n">
        <v>2022</v>
      </c>
      <c r="B19" s="18" t="s">
        <v>172</v>
      </c>
      <c r="C19" s="18" t="s">
        <v>120</v>
      </c>
      <c r="D19" s="18" t="s">
        <v>173</v>
      </c>
      <c r="E19" s="18" t="s">
        <v>174</v>
      </c>
      <c r="F19" s="18" t="s">
        <v>137</v>
      </c>
      <c r="G19" s="18" t="n">
        <v>2</v>
      </c>
      <c r="H19" s="26" t="n">
        <v>36006000</v>
      </c>
      <c r="I19" s="26" t="n">
        <f aca="false">IF(G19&gt;0,H19/G19,"")</f>
        <v>18003000</v>
      </c>
      <c r="J19" s="18" t="n">
        <v>4</v>
      </c>
      <c r="K19" s="18" t="s">
        <v>124</v>
      </c>
      <c r="L19" s="18" t="str">
        <f aca="false">IF(B19="CBP","Yes","No")</f>
        <v>No</v>
      </c>
      <c r="M19" s="18" t="s">
        <v>175</v>
      </c>
      <c r="N19" s="18" t="s">
        <v>176</v>
      </c>
    </row>
    <row r="20" customFormat="false" ht="15" hidden="false" customHeight="false" outlineLevel="0" collapsed="false">
      <c r="A20" s="18" t="n">
        <v>2022</v>
      </c>
      <c r="B20" s="18" t="s">
        <v>146</v>
      </c>
      <c r="C20" s="18" t="s">
        <v>141</v>
      </c>
      <c r="D20" s="18" t="s">
        <v>142</v>
      </c>
      <c r="E20" s="18" t="s">
        <v>177</v>
      </c>
      <c r="F20" s="18" t="s">
        <v>137</v>
      </c>
      <c r="G20" s="18" t="n">
        <v>1</v>
      </c>
      <c r="H20" s="26" t="n">
        <v>4366000</v>
      </c>
      <c r="I20" s="26" t="n">
        <f aca="false">IF(G20&gt;0,H20/G20,"")</f>
        <v>4366000</v>
      </c>
      <c r="J20" s="18"/>
      <c r="K20" s="18" t="s">
        <v>124</v>
      </c>
      <c r="L20" s="18" t="str">
        <f aca="false">IF(B20="CBP","Yes","No")</f>
        <v>No</v>
      </c>
      <c r="M20" s="18" t="s">
        <v>125</v>
      </c>
      <c r="N20" s="18" t="s">
        <v>178</v>
      </c>
    </row>
    <row r="21" customFormat="false" ht="15" hidden="false" customHeight="false" outlineLevel="0" collapsed="false">
      <c r="A21" s="18" t="n">
        <v>2023</v>
      </c>
      <c r="B21" s="18" t="s">
        <v>90</v>
      </c>
      <c r="C21" s="18" t="s">
        <v>134</v>
      </c>
      <c r="D21" s="18" t="s">
        <v>135</v>
      </c>
      <c r="E21" s="18" t="s">
        <v>179</v>
      </c>
      <c r="F21" s="18" t="s">
        <v>137</v>
      </c>
      <c r="G21" s="18" t="n">
        <v>6</v>
      </c>
      <c r="H21" s="26" t="n">
        <v>52270000</v>
      </c>
      <c r="I21" s="26" t="n">
        <f aca="false">IF(G21&gt;0,H21/G21,"")</f>
        <v>8711666.66666667</v>
      </c>
      <c r="J21" s="18" t="n">
        <v>1</v>
      </c>
      <c r="K21" s="18" t="s">
        <v>124</v>
      </c>
      <c r="L21" s="18" t="str">
        <f aca="false">IF(B21="CBP","Yes","No")</f>
        <v>Yes</v>
      </c>
      <c r="M21" s="18" t="s">
        <v>180</v>
      </c>
      <c r="N21" s="18" t="s">
        <v>181</v>
      </c>
    </row>
    <row r="22" customFormat="false" ht="15" hidden="false" customHeight="false" outlineLevel="0" collapsed="false">
      <c r="A22" s="18" t="n">
        <v>2024</v>
      </c>
      <c r="B22" s="18" t="s">
        <v>127</v>
      </c>
      <c r="C22" s="18" t="s">
        <v>120</v>
      </c>
      <c r="D22" s="18" t="s">
        <v>182</v>
      </c>
      <c r="E22" s="18" t="s">
        <v>183</v>
      </c>
      <c r="F22" s="18" t="s">
        <v>130</v>
      </c>
      <c r="G22" s="18" t="n">
        <v>1</v>
      </c>
      <c r="H22" s="26" t="n">
        <v>2850000</v>
      </c>
      <c r="I22" s="26" t="n">
        <f aca="false">IF(G22&gt;0,H22/G22,"")</f>
        <v>2850000</v>
      </c>
      <c r="J22" s="18" t="n">
        <v>2</v>
      </c>
      <c r="K22" s="18" t="s">
        <v>131</v>
      </c>
      <c r="L22" s="18" t="str">
        <f aca="false">IF(B22="CBP","Yes","No")</f>
        <v>No</v>
      </c>
      <c r="M22" s="18" t="s">
        <v>125</v>
      </c>
      <c r="N22" s="18" t="s">
        <v>184</v>
      </c>
    </row>
    <row r="23" customFormat="false" ht="15" hidden="false" customHeight="false" outlineLevel="0" collapsed="false">
      <c r="A23" s="18" t="n">
        <v>2026</v>
      </c>
      <c r="B23" s="18" t="s">
        <v>90</v>
      </c>
      <c r="C23" s="18" t="s">
        <v>134</v>
      </c>
      <c r="D23" s="18" t="s">
        <v>135</v>
      </c>
      <c r="E23" s="18" t="s">
        <v>185</v>
      </c>
      <c r="F23" s="18" t="s">
        <v>137</v>
      </c>
      <c r="G23" s="18" t="n">
        <v>10</v>
      </c>
      <c r="H23" s="26" t="n">
        <v>95510000</v>
      </c>
      <c r="I23" s="26" t="n">
        <f aca="false">IF(G23&gt;0,H23/G23,"")</f>
        <v>9551000</v>
      </c>
      <c r="J23" s="18" t="n">
        <v>2</v>
      </c>
      <c r="K23" s="18" t="s">
        <v>124</v>
      </c>
      <c r="L23" s="18" t="str">
        <f aca="false">IF(B23="CBP","Yes","No")</f>
        <v>Yes</v>
      </c>
      <c r="M23" s="18" t="s">
        <v>186</v>
      </c>
      <c r="N23" s="18" t="s">
        <v>187</v>
      </c>
    </row>
    <row r="24" customFormat="false" ht="15" hidden="false" customHeight="false" outlineLevel="0" collapsed="false">
      <c r="A24" s="18" t="n">
        <v>2026</v>
      </c>
      <c r="B24" s="18" t="s">
        <v>188</v>
      </c>
      <c r="C24" s="18" t="s">
        <v>120</v>
      </c>
      <c r="D24" s="18" t="s">
        <v>142</v>
      </c>
      <c r="E24" s="18" t="s">
        <v>129</v>
      </c>
      <c r="F24" s="18" t="s">
        <v>137</v>
      </c>
      <c r="G24" s="18"/>
      <c r="H24" s="26" t="n">
        <v>53240000</v>
      </c>
      <c r="I24" s="26" t="str">
        <f aca="false">IF(G24&gt;0,H24/G24,"")</f>
        <v/>
      </c>
      <c r="J24" s="18" t="n">
        <v>1</v>
      </c>
      <c r="K24" s="18" t="s">
        <v>189</v>
      </c>
      <c r="L24" s="18" t="str">
        <f aca="false">IF(B24="CBP","Yes","No")</f>
        <v>No</v>
      </c>
      <c r="M24" s="18" t="s">
        <v>190</v>
      </c>
      <c r="N24" s="18" t="s">
        <v>191</v>
      </c>
    </row>
    <row r="25" customFormat="false" ht="15" hidden="false" customHeight="false" outlineLevel="0" collapsed="false">
      <c r="A25" s="22" t="s">
        <v>100</v>
      </c>
      <c r="B25" s="22"/>
      <c r="C25" s="22"/>
      <c r="D25" s="22"/>
      <c r="E25" s="22"/>
      <c r="F25" s="22"/>
      <c r="G25" s="22" t="n">
        <f aca="false">SUM(G5:G24)</f>
        <v>60</v>
      </c>
      <c r="H25" s="27" t="n">
        <f aca="false">SUM(H5:H24)</f>
        <v>509551000</v>
      </c>
      <c r="I25" s="22"/>
      <c r="J25" s="22"/>
      <c r="K25" s="22"/>
      <c r="L25" s="22"/>
      <c r="M25" s="22"/>
      <c r="N25" s="22"/>
    </row>
    <row r="27" customFormat="false" ht="15" hidden="false" customHeight="false" outlineLevel="0" collapsed="false">
      <c r="A27" s="25" t="s">
        <v>192</v>
      </c>
    </row>
    <row r="28" customFormat="false" ht="15" hidden="false" customHeight="false" outlineLevel="0" collapsed="false">
      <c r="A28" s="25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2" t="s">
        <v>195</v>
      </c>
    </row>
    <row r="4" customFormat="false" ht="35.05" hidden="false" customHeight="false" outlineLevel="0" collapsed="false">
      <c r="A4" s="5" t="s">
        <v>196</v>
      </c>
      <c r="B4" s="5" t="s">
        <v>197</v>
      </c>
      <c r="C4" s="5" t="s">
        <v>198</v>
      </c>
      <c r="D4" s="5" t="s">
        <v>88</v>
      </c>
      <c r="E4" s="5" t="s">
        <v>199</v>
      </c>
      <c r="F4" s="5" t="s">
        <v>200</v>
      </c>
      <c r="G4" s="5" t="s">
        <v>201</v>
      </c>
      <c r="H4" s="5" t="s">
        <v>113</v>
      </c>
      <c r="I4" s="5" t="s">
        <v>202</v>
      </c>
      <c r="J4" s="5" t="s">
        <v>203</v>
      </c>
      <c r="K4" s="5" t="s">
        <v>204</v>
      </c>
    </row>
    <row r="5" customFormat="false" ht="15" hidden="false" customHeight="false" outlineLevel="0" collapsed="false">
      <c r="A5" s="18" t="s">
        <v>205</v>
      </c>
      <c r="B5" s="18" t="s">
        <v>206</v>
      </c>
      <c r="C5" s="28" t="n">
        <v>43299</v>
      </c>
      <c r="D5" s="18" t="n">
        <v>2018</v>
      </c>
      <c r="E5" s="18" t="s">
        <v>207</v>
      </c>
      <c r="F5" s="29" t="n">
        <v>7</v>
      </c>
      <c r="G5" s="26" t="n">
        <v>45958532.6</v>
      </c>
      <c r="H5" s="26" t="n">
        <f aca="false">IF(F5&gt;0,G5/F5,"")</f>
        <v>6565504.65714286</v>
      </c>
      <c r="I5" s="18" t="n">
        <v>1</v>
      </c>
      <c r="J5" s="18" t="s">
        <v>208</v>
      </c>
      <c r="K5" s="18" t="s">
        <v>209</v>
      </c>
    </row>
    <row r="6" customFormat="false" ht="15" hidden="false" customHeight="false" outlineLevel="0" collapsed="false">
      <c r="A6" s="18" t="s">
        <v>210</v>
      </c>
      <c r="B6" s="18" t="s">
        <v>206</v>
      </c>
      <c r="C6" s="28" t="n">
        <v>43691</v>
      </c>
      <c r="D6" s="18" t="n">
        <v>2019</v>
      </c>
      <c r="E6" s="18" t="s">
        <v>207</v>
      </c>
      <c r="F6" s="29" t="n">
        <v>9</v>
      </c>
      <c r="G6" s="26" t="n">
        <v>59150959.56</v>
      </c>
      <c r="H6" s="26" t="n">
        <f aca="false">IF(F6&gt;0,G6/F6,"")</f>
        <v>6572328.84</v>
      </c>
      <c r="I6" s="18" t="n">
        <v>1</v>
      </c>
      <c r="J6" s="18" t="s">
        <v>208</v>
      </c>
      <c r="K6" s="18" t="s">
        <v>211</v>
      </c>
    </row>
    <row r="7" customFormat="false" ht="15" hidden="false" customHeight="false" outlineLevel="0" collapsed="false">
      <c r="A7" s="18" t="s">
        <v>210</v>
      </c>
      <c r="B7" s="18" t="s">
        <v>212</v>
      </c>
      <c r="C7" s="28" t="n">
        <v>44068</v>
      </c>
      <c r="D7" s="18" t="n">
        <v>2020</v>
      </c>
      <c r="E7" s="18" t="s">
        <v>213</v>
      </c>
      <c r="F7" s="29" t="n">
        <v>1</v>
      </c>
      <c r="G7" s="26" t="n">
        <v>6570194.62</v>
      </c>
      <c r="H7" s="26" t="n">
        <f aca="false">IF(F7&gt;0,G7/F7,"")</f>
        <v>6570194.62</v>
      </c>
      <c r="I7" s="18" t="n">
        <v>1</v>
      </c>
      <c r="J7" s="18" t="s">
        <v>208</v>
      </c>
      <c r="K7" s="18" t="s">
        <v>214</v>
      </c>
    </row>
    <row r="8" customFormat="false" ht="15" hidden="false" customHeight="false" outlineLevel="0" collapsed="false">
      <c r="A8" s="18" t="s">
        <v>215</v>
      </c>
      <c r="B8" s="18" t="s">
        <v>206</v>
      </c>
      <c r="C8" s="28" t="n">
        <v>44231</v>
      </c>
      <c r="D8" s="18" t="n">
        <v>2021</v>
      </c>
      <c r="E8" s="18" t="s">
        <v>207</v>
      </c>
      <c r="F8" s="29" t="n">
        <v>3</v>
      </c>
      <c r="G8" s="26" t="n">
        <v>21257234.1</v>
      </c>
      <c r="H8" s="26" t="n">
        <f aca="false">IF(F8&gt;0,G8/F8,"")</f>
        <v>7085744.7</v>
      </c>
      <c r="I8" s="18" t="n">
        <v>1</v>
      </c>
      <c r="J8" s="18" t="s">
        <v>208</v>
      </c>
      <c r="K8" s="18" t="s">
        <v>216</v>
      </c>
    </row>
    <row r="9" customFormat="false" ht="15" hidden="false" customHeight="false" outlineLevel="0" collapsed="false">
      <c r="A9" s="18" t="s">
        <v>215</v>
      </c>
      <c r="B9" s="18" t="s">
        <v>212</v>
      </c>
      <c r="C9" s="28" t="n">
        <v>44238</v>
      </c>
      <c r="D9" s="18" t="n">
        <v>2021</v>
      </c>
      <c r="E9" s="18" t="s">
        <v>217</v>
      </c>
      <c r="F9" s="29" t="n">
        <v>4</v>
      </c>
      <c r="G9" s="26" t="n">
        <v>27940938.8</v>
      </c>
      <c r="H9" s="26" t="n">
        <f aca="false">IF(F9&gt;0,G9/F9,"")</f>
        <v>6985234.7</v>
      </c>
      <c r="I9" s="18" t="n">
        <v>1</v>
      </c>
      <c r="J9" s="18" t="s">
        <v>208</v>
      </c>
      <c r="K9" s="18" t="s">
        <v>218</v>
      </c>
    </row>
    <row r="10" customFormat="false" ht="15" hidden="false" customHeight="false" outlineLevel="0" collapsed="false">
      <c r="A10" s="18" t="s">
        <v>205</v>
      </c>
      <c r="B10" s="18" t="s">
        <v>219</v>
      </c>
      <c r="C10" s="28" t="n">
        <v>44574</v>
      </c>
      <c r="D10" s="18" t="n">
        <v>2022</v>
      </c>
      <c r="E10" s="18" t="s">
        <v>220</v>
      </c>
      <c r="F10" s="29" t="n">
        <v>0</v>
      </c>
      <c r="G10" s="26" t="n">
        <v>-646.57</v>
      </c>
      <c r="H10" s="26" t="str">
        <f aca="false">IF(F10&gt;0,G10/F10,"")</f>
        <v/>
      </c>
      <c r="I10" s="18" t="n">
        <v>1</v>
      </c>
      <c r="J10" s="18" t="s">
        <v>208</v>
      </c>
      <c r="K10" s="18" t="s">
        <v>221</v>
      </c>
    </row>
    <row r="11" customFormat="false" ht="15" hidden="false" customHeight="false" outlineLevel="0" collapsed="false">
      <c r="A11" s="18" t="s">
        <v>215</v>
      </c>
      <c r="B11" s="18" t="s">
        <v>222</v>
      </c>
      <c r="C11" s="28" t="n">
        <v>44816</v>
      </c>
      <c r="D11" s="18" t="n">
        <v>2022</v>
      </c>
      <c r="E11" s="18" t="s">
        <v>223</v>
      </c>
      <c r="F11" s="29" t="n">
        <v>2</v>
      </c>
      <c r="G11" s="26" t="n">
        <v>14389603.14</v>
      </c>
      <c r="H11" s="26" t="n">
        <f aca="false">IF(F11&gt;0,G11/F11,"")</f>
        <v>7194801.57</v>
      </c>
      <c r="I11" s="18" t="n">
        <v>1</v>
      </c>
      <c r="J11" s="18" t="s">
        <v>208</v>
      </c>
      <c r="K11" s="18" t="s">
        <v>224</v>
      </c>
    </row>
    <row r="12" customFormat="false" ht="15" hidden="false" customHeight="false" outlineLevel="0" collapsed="false">
      <c r="A12" s="18" t="s">
        <v>225</v>
      </c>
      <c r="B12" s="18" t="s">
        <v>206</v>
      </c>
      <c r="C12" s="28" t="n">
        <v>45188</v>
      </c>
      <c r="D12" s="18" t="n">
        <v>2023</v>
      </c>
      <c r="E12" s="18" t="s">
        <v>226</v>
      </c>
      <c r="F12" s="29" t="n">
        <v>1</v>
      </c>
      <c r="G12" s="26" t="n">
        <v>9671741.78</v>
      </c>
      <c r="H12" s="26" t="n">
        <f aca="false">IF(F12&gt;0,G12/F12,"")</f>
        <v>9671741.78</v>
      </c>
      <c r="I12" s="18" t="n">
        <v>1</v>
      </c>
      <c r="J12" s="18" t="s">
        <v>208</v>
      </c>
      <c r="K12" s="18" t="s">
        <v>227</v>
      </c>
    </row>
    <row r="13" customFormat="false" ht="15" hidden="false" customHeight="false" outlineLevel="0" collapsed="false">
      <c r="A13" s="18" t="s">
        <v>225</v>
      </c>
      <c r="B13" s="18" t="s">
        <v>228</v>
      </c>
      <c r="C13" s="28" t="n">
        <v>45510</v>
      </c>
      <c r="D13" s="18" t="n">
        <v>2024</v>
      </c>
      <c r="E13" s="18" t="s">
        <v>229</v>
      </c>
      <c r="F13" s="29" t="n">
        <v>3</v>
      </c>
      <c r="G13" s="26" t="n">
        <v>24630323.34</v>
      </c>
      <c r="H13" s="26" t="n">
        <f aca="false">IF(F13&gt;0,G13/F13,"")</f>
        <v>8210107.78</v>
      </c>
      <c r="I13" s="18" t="n">
        <v>1</v>
      </c>
      <c r="J13" s="18" t="s">
        <v>208</v>
      </c>
      <c r="K13" s="18" t="s">
        <v>230</v>
      </c>
    </row>
    <row r="14" customFormat="false" ht="15" hidden="false" customHeight="false" outlineLevel="0" collapsed="false">
      <c r="A14" s="18" t="s">
        <v>225</v>
      </c>
      <c r="B14" s="18" t="s">
        <v>219</v>
      </c>
      <c r="C14" s="28" t="n">
        <v>45757</v>
      </c>
      <c r="D14" s="18" t="n">
        <v>2025</v>
      </c>
      <c r="E14" s="18" t="s">
        <v>231</v>
      </c>
      <c r="F14" s="29" t="n">
        <v>0</v>
      </c>
      <c r="G14" s="26" t="n">
        <v>217964.1</v>
      </c>
      <c r="H14" s="26" t="str">
        <f aca="false">IF(F14&gt;0,G14/F14,"")</f>
        <v/>
      </c>
      <c r="I14" s="18" t="n">
        <v>1</v>
      </c>
      <c r="J14" s="18" t="s">
        <v>208</v>
      </c>
      <c r="K14" s="18" t="s">
        <v>221</v>
      </c>
    </row>
    <row r="15" customFormat="false" ht="15" hidden="false" customHeight="false" outlineLevel="0" collapsed="false">
      <c r="A15" s="18" t="s">
        <v>232</v>
      </c>
      <c r="B15" s="18" t="s">
        <v>206</v>
      </c>
      <c r="C15" s="28" t="n">
        <v>45757</v>
      </c>
      <c r="D15" s="18" t="n">
        <v>2025</v>
      </c>
      <c r="E15" s="18" t="s">
        <v>233</v>
      </c>
      <c r="F15" s="29" t="n">
        <v>0</v>
      </c>
      <c r="G15" s="26" t="n">
        <v>1992280</v>
      </c>
      <c r="H15" s="26" t="str">
        <f aca="false">IF(F15&gt;0,G15/F15,"")</f>
        <v/>
      </c>
      <c r="I15" s="18" t="n">
        <v>1</v>
      </c>
      <c r="J15" s="18" t="s">
        <v>234</v>
      </c>
      <c r="K15" s="18" t="s">
        <v>221</v>
      </c>
    </row>
    <row r="16" customFormat="false" ht="15" hidden="false" customHeight="false" outlineLevel="0" collapsed="false">
      <c r="A16" s="18" t="s">
        <v>225</v>
      </c>
      <c r="B16" s="18" t="s">
        <v>222</v>
      </c>
      <c r="C16" s="28" t="n">
        <v>45909</v>
      </c>
      <c r="D16" s="18" t="n">
        <v>2025</v>
      </c>
      <c r="E16" s="18" t="s">
        <v>235</v>
      </c>
      <c r="F16" s="29" t="n">
        <v>2</v>
      </c>
      <c r="G16" s="26" t="n">
        <v>17618472.62</v>
      </c>
      <c r="H16" s="26" t="n">
        <f aca="false">IF(F16&gt;0,G16/F16,"")</f>
        <v>8809236.31</v>
      </c>
      <c r="I16" s="18" t="n">
        <v>1</v>
      </c>
      <c r="J16" s="18" t="s">
        <v>208</v>
      </c>
      <c r="K16" s="18" t="s">
        <v>236</v>
      </c>
    </row>
    <row r="17" customFormat="false" ht="15" hidden="false" customHeight="false" outlineLevel="0" collapsed="false">
      <c r="A17" s="18" t="s">
        <v>225</v>
      </c>
      <c r="B17" s="18" t="s">
        <v>237</v>
      </c>
      <c r="C17" s="28" t="n">
        <v>46140</v>
      </c>
      <c r="D17" s="18" t="n">
        <v>2026</v>
      </c>
      <c r="E17" s="18" t="s">
        <v>238</v>
      </c>
      <c r="F17" s="29" t="n">
        <v>0</v>
      </c>
      <c r="G17" s="26" t="n">
        <v>135000</v>
      </c>
      <c r="H17" s="26" t="str">
        <f aca="false">IF(F17&gt;0,G17/F17,"")</f>
        <v/>
      </c>
      <c r="I17" s="18" t="n">
        <v>1</v>
      </c>
      <c r="J17" s="18" t="s">
        <v>208</v>
      </c>
      <c r="K17" s="18" t="s">
        <v>221</v>
      </c>
    </row>
    <row r="18" customFormat="false" ht="15" hidden="false" customHeight="false" outlineLevel="0" collapsed="false">
      <c r="A18" s="18" t="s">
        <v>239</v>
      </c>
      <c r="B18" s="18" t="s">
        <v>206</v>
      </c>
      <c r="C18" s="28" t="n">
        <v>46161</v>
      </c>
      <c r="D18" s="18" t="n">
        <v>2026</v>
      </c>
      <c r="E18" s="18" t="s">
        <v>240</v>
      </c>
      <c r="F18" s="29" t="n">
        <v>10</v>
      </c>
      <c r="G18" s="26" t="n">
        <v>95507814.35</v>
      </c>
      <c r="H18" s="26" t="n">
        <f aca="false">IF(F18&gt;0,G18/F18,"")</f>
        <v>9550781.435</v>
      </c>
      <c r="I18" s="18" t="n">
        <v>2</v>
      </c>
      <c r="J18" s="18" t="s">
        <v>208</v>
      </c>
      <c r="K18" s="18" t="s">
        <v>241</v>
      </c>
    </row>
    <row r="19" customFormat="false" ht="15" hidden="false" customHeight="false" outlineLevel="0" collapsed="false">
      <c r="A19" s="18" t="s">
        <v>242</v>
      </c>
      <c r="B19" s="18" t="s">
        <v>206</v>
      </c>
      <c r="C19" s="28" t="n">
        <v>46268</v>
      </c>
      <c r="D19" s="18" t="n">
        <v>2026</v>
      </c>
      <c r="E19" s="18" t="s">
        <v>243</v>
      </c>
      <c r="F19" s="29" t="n">
        <v>0</v>
      </c>
      <c r="G19" s="26" t="n">
        <v>2974000</v>
      </c>
      <c r="H19" s="26" t="str">
        <f aca="false">IF(F19&gt;0,G19/F19,"")</f>
        <v/>
      </c>
      <c r="I19" s="18" t="n">
        <v>1</v>
      </c>
      <c r="J19" s="18" t="s">
        <v>234</v>
      </c>
      <c r="K19" s="18" t="s">
        <v>221</v>
      </c>
    </row>
    <row r="20" customFormat="false" ht="15" hidden="false" customHeight="false" outlineLevel="0" collapsed="false">
      <c r="A20" s="22" t="s">
        <v>100</v>
      </c>
      <c r="B20" s="22"/>
      <c r="C20" s="22"/>
      <c r="D20" s="22"/>
      <c r="E20" s="22"/>
      <c r="F20" s="22" t="n">
        <f aca="false">SUM(F5:F19)</f>
        <v>42</v>
      </c>
      <c r="G20" s="27" t="n">
        <f aca="false">SUM(G5:G19)</f>
        <v>328014412.44</v>
      </c>
      <c r="H20" s="22"/>
      <c r="I20" s="22"/>
      <c r="J20" s="22"/>
      <c r="K20" s="22"/>
    </row>
    <row r="22" customFormat="false" ht="15" hidden="false" customHeight="false" outlineLevel="0" collapsed="false">
      <c r="A22" s="12" t="s">
        <v>244</v>
      </c>
      <c r="B22" s="13"/>
      <c r="C22" s="13"/>
      <c r="D22" s="13"/>
      <c r="E22" s="13"/>
      <c r="F22" s="13"/>
      <c r="G22" s="13"/>
      <c r="H22" s="13"/>
    </row>
    <row r="23" customFormat="false" ht="35.05" hidden="false" customHeight="false" outlineLevel="0" collapsed="false">
      <c r="A23" s="5" t="s">
        <v>196</v>
      </c>
      <c r="B23" s="5" t="s">
        <v>245</v>
      </c>
      <c r="C23" s="5" t="s">
        <v>111</v>
      </c>
      <c r="D23" s="5" t="s">
        <v>246</v>
      </c>
      <c r="E23" s="5" t="s">
        <v>247</v>
      </c>
      <c r="F23" s="5" t="s">
        <v>113</v>
      </c>
      <c r="G23" s="5" t="s">
        <v>114</v>
      </c>
    </row>
    <row r="24" customFormat="false" ht="15" hidden="false" customHeight="false" outlineLevel="0" collapsed="false">
      <c r="A24" s="18" t="s">
        <v>205</v>
      </c>
      <c r="B24" s="28" t="n">
        <v>43299</v>
      </c>
      <c r="C24" s="18" t="n">
        <f aca="false">SUMIFS($F$5:$F$19,$A$5:$A$19,A24)</f>
        <v>7</v>
      </c>
      <c r="D24" s="26" t="n">
        <f aca="false">SUMIFS($G$5:$G$19,$A$5:$A$19,A24,$F$5:$F$19,"&gt;0")</f>
        <v>45958532.6</v>
      </c>
      <c r="E24" s="26" t="n">
        <f aca="false">SUMIFS($G$5:$G$19,$A$5:$A$19,A24,$F$5:$F$19,0)</f>
        <v>-646.57</v>
      </c>
      <c r="F24" s="26" t="n">
        <f aca="false">IF(C24&gt;0,D24/C24,"")</f>
        <v>6565504.65714286</v>
      </c>
      <c r="G24" s="18" t="n">
        <v>1</v>
      </c>
    </row>
    <row r="25" customFormat="false" ht="15" hidden="false" customHeight="false" outlineLevel="0" collapsed="false">
      <c r="A25" s="18" t="s">
        <v>210</v>
      </c>
      <c r="B25" s="28" t="n">
        <v>43691</v>
      </c>
      <c r="C25" s="18" t="n">
        <f aca="false">SUMIFS($F$5:$F$19,$A$5:$A$19,A25)</f>
        <v>10</v>
      </c>
      <c r="D25" s="26" t="n">
        <f aca="false">SUMIFS($G$5:$G$19,$A$5:$A$19,A25,$F$5:$F$19,"&gt;0")</f>
        <v>65721154.18</v>
      </c>
      <c r="E25" s="26" t="n">
        <f aca="false">SUMIFS($G$5:$G$19,$A$5:$A$19,A25,$F$5:$F$19,0)</f>
        <v>0</v>
      </c>
      <c r="F25" s="26" t="n">
        <f aca="false">IF(C25&gt;0,D25/C25,"")</f>
        <v>6572115.418</v>
      </c>
      <c r="G25" s="18" t="n">
        <v>1</v>
      </c>
    </row>
    <row r="26" customFormat="false" ht="15" hidden="false" customHeight="false" outlineLevel="0" collapsed="false">
      <c r="A26" s="18" t="s">
        <v>215</v>
      </c>
      <c r="B26" s="28" t="n">
        <v>44231</v>
      </c>
      <c r="C26" s="18" t="n">
        <f aca="false">SUMIFS($F$5:$F$19,$A$5:$A$19,A26)</f>
        <v>9</v>
      </c>
      <c r="D26" s="26" t="n">
        <f aca="false">SUMIFS($G$5:$G$19,$A$5:$A$19,A26,$F$5:$F$19,"&gt;0")</f>
        <v>63587776.04</v>
      </c>
      <c r="E26" s="26" t="n">
        <f aca="false">SUMIFS($G$5:$G$19,$A$5:$A$19,A26,$F$5:$F$19,0)</f>
        <v>0</v>
      </c>
      <c r="F26" s="26" t="n">
        <f aca="false">IF(C26&gt;0,D26/C26,"")</f>
        <v>7065308.44888889</v>
      </c>
      <c r="G26" s="18" t="n">
        <v>1</v>
      </c>
    </row>
    <row r="27" customFormat="false" ht="15" hidden="false" customHeight="false" outlineLevel="0" collapsed="false">
      <c r="A27" s="18" t="s">
        <v>225</v>
      </c>
      <c r="B27" s="28" t="n">
        <v>45188</v>
      </c>
      <c r="C27" s="18" t="n">
        <f aca="false">SUMIFS($F$5:$F$19,$A$5:$A$19,A27)</f>
        <v>6</v>
      </c>
      <c r="D27" s="26" t="n">
        <f aca="false">SUMIFS($G$5:$G$19,$A$5:$A$19,A27,$F$5:$F$19,"&gt;0")</f>
        <v>51920537.74</v>
      </c>
      <c r="E27" s="26" t="n">
        <f aca="false">SUMIFS($G$5:$G$19,$A$5:$A$19,A27,$F$5:$F$19,0)</f>
        <v>352964.1</v>
      </c>
      <c r="F27" s="26" t="n">
        <f aca="false">IF(C27&gt;0,D27/C27,"")</f>
        <v>8653422.95666667</v>
      </c>
      <c r="G27" s="18" t="n">
        <v>1</v>
      </c>
    </row>
    <row r="28" customFormat="false" ht="15" hidden="false" customHeight="false" outlineLevel="0" collapsed="false">
      <c r="A28" s="18" t="s">
        <v>232</v>
      </c>
      <c r="B28" s="28" t="n">
        <v>45757</v>
      </c>
      <c r="C28" s="18" t="n">
        <f aca="false">SUMIFS($F$5:$F$19,$A$5:$A$19,A28)</f>
        <v>0</v>
      </c>
      <c r="D28" s="26" t="n">
        <f aca="false">SUMIFS($G$5:$G$19,$A$5:$A$19,A28,$F$5:$F$19,"&gt;0")</f>
        <v>0</v>
      </c>
      <c r="E28" s="26" t="n">
        <f aca="false">SUMIFS($G$5:$G$19,$A$5:$A$19,A28,$F$5:$F$19,0)</f>
        <v>1992280</v>
      </c>
      <c r="F28" s="26" t="str">
        <f aca="false">IF(C28&gt;0,D28/C28,"")</f>
        <v/>
      </c>
      <c r="G28" s="18" t="n">
        <v>1</v>
      </c>
    </row>
    <row r="29" customFormat="false" ht="15" hidden="false" customHeight="false" outlineLevel="0" collapsed="false">
      <c r="A29" s="18" t="s">
        <v>239</v>
      </c>
      <c r="B29" s="28" t="n">
        <v>46161</v>
      </c>
      <c r="C29" s="18" t="n">
        <f aca="false">SUMIFS($F$5:$F$19,$A$5:$A$19,A29)</f>
        <v>10</v>
      </c>
      <c r="D29" s="26" t="n">
        <f aca="false">SUMIFS($G$5:$G$19,$A$5:$A$19,A29,$F$5:$F$19,"&gt;0")</f>
        <v>95507814.35</v>
      </c>
      <c r="E29" s="26" t="n">
        <f aca="false">SUMIFS($G$5:$G$19,$A$5:$A$19,A29,$F$5:$F$19,0)</f>
        <v>0</v>
      </c>
      <c r="F29" s="26" t="n">
        <f aca="false">IF(C29&gt;0,D29/C29,"")</f>
        <v>9550781.435</v>
      </c>
      <c r="G29" s="18" t="n">
        <v>2</v>
      </c>
    </row>
    <row r="30" customFormat="false" ht="15" hidden="false" customHeight="false" outlineLevel="0" collapsed="false">
      <c r="A30" s="18" t="s">
        <v>242</v>
      </c>
      <c r="B30" s="28" t="n">
        <v>46268</v>
      </c>
      <c r="C30" s="18" t="n">
        <f aca="false">SUMIFS($F$5:$F$19,$A$5:$A$19,A30)</f>
        <v>0</v>
      </c>
      <c r="D30" s="26" t="n">
        <f aca="false">SUMIFS($G$5:$G$19,$A$5:$A$19,A30,$F$5:$F$19,"&gt;0")</f>
        <v>0</v>
      </c>
      <c r="E30" s="26" t="n">
        <f aca="false">SUMIFS($G$5:$G$19,$A$5:$A$19,A30,$F$5:$F$19,0)</f>
        <v>2974000</v>
      </c>
      <c r="F30" s="26" t="str">
        <f aca="false">IF(C30&gt;0,D30/C30,"")</f>
        <v/>
      </c>
      <c r="G30" s="18" t="n">
        <v>1</v>
      </c>
    </row>
    <row r="31" customFormat="false" ht="15" hidden="false" customHeight="false" outlineLevel="0" collapsed="false">
      <c r="A31" s="22" t="s">
        <v>100</v>
      </c>
      <c r="B31" s="22"/>
      <c r="C31" s="22" t="n">
        <f aca="false">SUM(C24:C30)</f>
        <v>42</v>
      </c>
      <c r="D31" s="27" t="n">
        <f aca="false">SUM(D24:D30)</f>
        <v>322695814.91</v>
      </c>
      <c r="E31" s="27" t="n">
        <f aca="false">SUM(E24:E30)</f>
        <v>5318597.53</v>
      </c>
      <c r="F31" s="22"/>
      <c r="G31" s="22"/>
    </row>
    <row r="33" customFormat="false" ht="15" hidden="false" customHeight="false" outlineLevel="0" collapsed="false">
      <c r="A33" s="12" t="s">
        <v>248</v>
      </c>
      <c r="B33" s="13"/>
      <c r="C33" s="13"/>
      <c r="D33" s="13"/>
      <c r="E33" s="13"/>
      <c r="F33" s="13"/>
      <c r="G33" s="13"/>
      <c r="H33" s="13"/>
    </row>
    <row r="34" customFormat="false" ht="15" hidden="false" customHeight="false" outlineLevel="0" collapsed="false">
      <c r="A34" s="18" t="s">
        <v>249</v>
      </c>
      <c r="B34" s="18"/>
      <c r="C34" s="18"/>
      <c r="D34" s="18"/>
      <c r="E34" s="18"/>
      <c r="F34" s="18"/>
      <c r="G34" s="30" t="n">
        <v>4770051</v>
      </c>
    </row>
    <row r="35" customFormat="false" ht="15" hidden="false" customHeight="false" outlineLevel="0" collapsed="false">
      <c r="A35" s="18" t="s">
        <v>250</v>
      </c>
      <c r="B35" s="18"/>
      <c r="C35" s="18"/>
      <c r="D35" s="18"/>
      <c r="E35" s="18"/>
      <c r="F35" s="18"/>
      <c r="G35" s="26" t="n">
        <f aca="false">H11</f>
        <v>7194801.57</v>
      </c>
    </row>
    <row r="36" customFormat="false" ht="15" hidden="false" customHeight="false" outlineLevel="0" collapsed="false">
      <c r="A36" s="18" t="s">
        <v>251</v>
      </c>
      <c r="B36" s="18"/>
      <c r="C36" s="18"/>
      <c r="D36" s="18"/>
      <c r="E36" s="18"/>
      <c r="F36" s="18"/>
      <c r="G36" s="24" t="n">
        <f aca="false">1-G34/G35</f>
        <v>0.337014238184195</v>
      </c>
    </row>
    <row r="37" customFormat="false" ht="15" hidden="false" customHeight="false" outlineLevel="0" collapsed="false">
      <c r="A37" s="25" t="s">
        <v>252</v>
      </c>
    </row>
    <row r="39" customFormat="false" ht="15" hidden="false" customHeight="false" outlineLevel="0" collapsed="false">
      <c r="A39" s="12" t="s">
        <v>253</v>
      </c>
      <c r="B39" s="13"/>
      <c r="C39" s="13"/>
      <c r="D39" s="13"/>
      <c r="E39" s="13"/>
      <c r="F39" s="13"/>
      <c r="G39" s="13"/>
      <c r="H39" s="13"/>
    </row>
    <row r="40" customFormat="false" ht="23.85" hidden="false" customHeight="false" outlineLevel="0" collapsed="false">
      <c r="A40" s="5" t="s">
        <v>254</v>
      </c>
      <c r="B40" s="5" t="s">
        <v>113</v>
      </c>
    </row>
    <row r="41" customFormat="false" ht="15" hidden="false" customHeight="false" outlineLevel="0" collapsed="false">
      <c r="A41" s="18" t="s">
        <v>255</v>
      </c>
      <c r="B41" s="19" t="n">
        <f aca="false">H5</f>
        <v>6565504.65714286</v>
      </c>
    </row>
    <row r="42" customFormat="false" ht="15" hidden="false" customHeight="false" outlineLevel="0" collapsed="false">
      <c r="A42" s="18" t="s">
        <v>256</v>
      </c>
      <c r="B42" s="19" t="n">
        <f aca="false">H6</f>
        <v>6572328.84</v>
      </c>
    </row>
    <row r="43" customFormat="false" ht="15" hidden="false" customHeight="false" outlineLevel="0" collapsed="false">
      <c r="A43" s="18" t="s">
        <v>257</v>
      </c>
      <c r="B43" s="19" t="n">
        <f aca="false">H7</f>
        <v>6570194.62</v>
      </c>
    </row>
    <row r="44" customFormat="false" ht="15" hidden="false" customHeight="false" outlineLevel="0" collapsed="false">
      <c r="A44" s="18" t="s">
        <v>258</v>
      </c>
      <c r="B44" s="19" t="n">
        <f aca="false">H8</f>
        <v>7085744.7</v>
      </c>
    </row>
    <row r="45" customFormat="false" ht="15" hidden="false" customHeight="false" outlineLevel="0" collapsed="false">
      <c r="A45" s="18" t="s">
        <v>258</v>
      </c>
      <c r="B45" s="19" t="n">
        <f aca="false">H9</f>
        <v>6985234.7</v>
      </c>
    </row>
    <row r="46" customFormat="false" ht="15" hidden="false" customHeight="false" outlineLevel="0" collapsed="false">
      <c r="A46" s="18" t="s">
        <v>259</v>
      </c>
      <c r="B46" s="19" t="n">
        <f aca="false">H11</f>
        <v>7194801.57</v>
      </c>
    </row>
    <row r="47" customFormat="false" ht="15" hidden="false" customHeight="false" outlineLevel="0" collapsed="false">
      <c r="A47" s="18" t="s">
        <v>260</v>
      </c>
      <c r="B47" s="19" t="n">
        <f aca="false">H12</f>
        <v>9671741.78</v>
      </c>
    </row>
    <row r="48" customFormat="false" ht="15" hidden="false" customHeight="false" outlineLevel="0" collapsed="false">
      <c r="A48" s="18" t="s">
        <v>261</v>
      </c>
      <c r="B48" s="19" t="n">
        <f aca="false">H13</f>
        <v>8210107.78</v>
      </c>
    </row>
    <row r="49" customFormat="false" ht="15" hidden="false" customHeight="false" outlineLevel="0" collapsed="false">
      <c r="A49" s="18" t="s">
        <v>262</v>
      </c>
      <c r="B49" s="19" t="n">
        <f aca="false">H16</f>
        <v>8809236.31</v>
      </c>
    </row>
    <row r="50" customFormat="false" ht="15" hidden="false" customHeight="false" outlineLevel="0" collapsed="false">
      <c r="A50" s="18" t="s">
        <v>263</v>
      </c>
      <c r="B50" s="19" t="n">
        <f aca="false">H18</f>
        <v>9550781.435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8" style="0" width="58"/>
    <col collapsed="false" customWidth="true" hidden="false" outlineLevel="0" max="12" min="9" style="0" width="13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5" t="s">
        <v>88</v>
      </c>
      <c r="B4" s="5" t="s">
        <v>266</v>
      </c>
      <c r="C4" s="5" t="s">
        <v>267</v>
      </c>
      <c r="D4" s="5" t="s">
        <v>268</v>
      </c>
      <c r="E4" s="5" t="s">
        <v>269</v>
      </c>
      <c r="F4" s="5" t="s">
        <v>270</v>
      </c>
      <c r="H4" s="31" t="s">
        <v>271</v>
      </c>
    </row>
    <row r="5" customFormat="false" ht="23.85" hidden="false" customHeight="false" outlineLevel="0" collapsed="false">
      <c r="A5" s="18" t="n">
        <v>2020</v>
      </c>
      <c r="B5" s="18" t="n">
        <v>1</v>
      </c>
      <c r="C5" s="18" t="n">
        <f aca="false">A5+B5/10</f>
        <v>2020.1</v>
      </c>
      <c r="D5" s="18" t="s">
        <v>272</v>
      </c>
      <c r="E5" s="18" t="s">
        <v>273</v>
      </c>
      <c r="F5" s="26" t="n">
        <v>8160589</v>
      </c>
      <c r="H5" s="5" t="s">
        <v>88</v>
      </c>
      <c r="I5" s="5" t="s">
        <v>274</v>
      </c>
      <c r="J5" s="5" t="s">
        <v>275</v>
      </c>
      <c r="K5" s="5" t="s">
        <v>276</v>
      </c>
      <c r="L5" s="5" t="s">
        <v>100</v>
      </c>
      <c r="M5" s="5" t="s">
        <v>277</v>
      </c>
    </row>
    <row r="6" customFormat="false" ht="15" hidden="false" customHeight="false" outlineLevel="0" collapsed="false">
      <c r="A6" s="18" t="n">
        <v>2020</v>
      </c>
      <c r="B6" s="18" t="n">
        <v>4</v>
      </c>
      <c r="C6" s="18" t="n">
        <f aca="false">A6+B6/10</f>
        <v>2020.4</v>
      </c>
      <c r="D6" s="18" t="s">
        <v>278</v>
      </c>
      <c r="E6" s="18" t="s">
        <v>279</v>
      </c>
      <c r="F6" s="26" t="n">
        <v>11464665</v>
      </c>
      <c r="H6" s="18" t="n">
        <v>2017</v>
      </c>
      <c r="I6" s="19" t="n">
        <f aca="false">SUMIFS($F$5:$F$40,$A$5:$A$40,H6,$E$5:$E$40,"Standard")</f>
        <v>0</v>
      </c>
      <c r="J6" s="19" t="n">
        <f aca="false">SUMIFS($F$5:$F$40,$A$5:$A$40,H6,$E$5:$E$40,"State or Local Gov")</f>
        <v>0</v>
      </c>
      <c r="K6" s="19" t="n">
        <f aca="false">SUMIFS($F$5:$F$40,$A$5:$A$40,H6,$E$5:$E$40,"Recovery")</f>
        <v>0</v>
      </c>
      <c r="L6" s="19" t="n">
        <f aca="false">SUM(I6:K6)</f>
        <v>0</v>
      </c>
      <c r="M6" s="20" t="str">
        <f aca="false">IF(L6&gt;0,J6/L6,"")</f>
        <v/>
      </c>
    </row>
    <row r="7" customFormat="false" ht="15" hidden="false" customHeight="false" outlineLevel="0" collapsed="false">
      <c r="A7" s="18" t="n">
        <v>2020</v>
      </c>
      <c r="B7" s="18" t="n">
        <v>4</v>
      </c>
      <c r="C7" s="18" t="n">
        <f aca="false">A7+B7/10</f>
        <v>2020.4</v>
      </c>
      <c r="D7" s="18" t="s">
        <v>280</v>
      </c>
      <c r="E7" s="18" t="s">
        <v>279</v>
      </c>
      <c r="F7" s="26" t="n">
        <v>14591991</v>
      </c>
      <c r="H7" s="18" t="n">
        <v>2018</v>
      </c>
      <c r="I7" s="19" t="n">
        <f aca="false">SUMIFS($F$5:$F$40,$A$5:$A$40,H7,$E$5:$E$40,"Standard")</f>
        <v>0</v>
      </c>
      <c r="J7" s="19" t="n">
        <f aca="false">SUMIFS($F$5:$F$40,$A$5:$A$40,H7,$E$5:$E$40,"State or Local Gov")</f>
        <v>0</v>
      </c>
      <c r="K7" s="19" t="n">
        <f aca="false">SUMIFS($F$5:$F$40,$A$5:$A$40,H7,$E$5:$E$40,"Recovery")</f>
        <v>0</v>
      </c>
      <c r="L7" s="19" t="n">
        <f aca="false">SUM(I7:K7)</f>
        <v>0</v>
      </c>
      <c r="M7" s="20" t="str">
        <f aca="false">IF(L7&gt;0,J7/L7,"")</f>
        <v/>
      </c>
    </row>
    <row r="8" customFormat="false" ht="15" hidden="false" customHeight="false" outlineLevel="0" collapsed="false">
      <c r="A8" s="18" t="n">
        <v>2021</v>
      </c>
      <c r="B8" s="18" t="n">
        <v>1</v>
      </c>
      <c r="C8" s="18" t="n">
        <f aca="false">A8+B8/10</f>
        <v>2021.1</v>
      </c>
      <c r="D8" s="18" t="s">
        <v>278</v>
      </c>
      <c r="E8" s="18" t="s">
        <v>279</v>
      </c>
      <c r="F8" s="26" t="n">
        <v>33697466</v>
      </c>
      <c r="H8" s="18" t="n">
        <v>2019</v>
      </c>
      <c r="I8" s="19" t="n">
        <f aca="false">SUMIFS($F$5:$F$40,$A$5:$A$40,H8,$E$5:$E$40,"Standard")</f>
        <v>0</v>
      </c>
      <c r="J8" s="19" t="n">
        <f aca="false">SUMIFS($F$5:$F$40,$A$5:$A$40,H8,$E$5:$E$40,"State or Local Gov")</f>
        <v>0</v>
      </c>
      <c r="K8" s="19" t="n">
        <f aca="false">SUMIFS($F$5:$F$40,$A$5:$A$40,H8,$E$5:$E$40,"Recovery")</f>
        <v>0</v>
      </c>
      <c r="L8" s="19" t="n">
        <f aca="false">SUM(I8:K8)</f>
        <v>0</v>
      </c>
      <c r="M8" s="20" t="str">
        <f aca="false">IF(L8&gt;0,J8/L8,"")</f>
        <v/>
      </c>
    </row>
    <row r="9" customFormat="false" ht="15" hidden="false" customHeight="false" outlineLevel="0" collapsed="false">
      <c r="A9" s="18" t="n">
        <v>2021</v>
      </c>
      <c r="B9" s="18" t="n">
        <v>1</v>
      </c>
      <c r="C9" s="18" t="n">
        <f aca="false">A9+B9/10</f>
        <v>2021.1</v>
      </c>
      <c r="D9" s="18" t="s">
        <v>280</v>
      </c>
      <c r="E9" s="18" t="s">
        <v>273</v>
      </c>
      <c r="F9" s="26" t="n">
        <v>9876395</v>
      </c>
      <c r="H9" s="18" t="n">
        <v>2020</v>
      </c>
      <c r="I9" s="19" t="n">
        <f aca="false">SUMIFS($F$5:$F$40,$A$5:$A$40,H9,$E$5:$E$40,"Standard")</f>
        <v>26056656</v>
      </c>
      <c r="J9" s="19" t="n">
        <f aca="false">SUMIFS($F$5:$F$40,$A$5:$A$40,H9,$E$5:$E$40,"State or Local Gov")</f>
        <v>8160589</v>
      </c>
      <c r="K9" s="19" t="n">
        <f aca="false">SUMIFS($F$5:$F$40,$A$5:$A$40,H9,$E$5:$E$40,"Recovery")</f>
        <v>0</v>
      </c>
      <c r="L9" s="19" t="n">
        <f aca="false">SUM(I9:K9)</f>
        <v>34217245</v>
      </c>
      <c r="M9" s="20" t="n">
        <f aca="false">IF(L9&gt;0,J9/L9,"")</f>
        <v>0.238493455566046</v>
      </c>
    </row>
    <row r="10" customFormat="false" ht="15" hidden="false" customHeight="false" outlineLevel="0" collapsed="false">
      <c r="A10" s="18" t="n">
        <v>2021</v>
      </c>
      <c r="B10" s="18" t="n">
        <v>1</v>
      </c>
      <c r="C10" s="18" t="n">
        <f aca="false">A10+B10/10</f>
        <v>2021.1</v>
      </c>
      <c r="D10" s="18" t="s">
        <v>281</v>
      </c>
      <c r="E10" s="18" t="s">
        <v>273</v>
      </c>
      <c r="F10" s="26" t="n">
        <v>17874</v>
      </c>
      <c r="H10" s="18" t="n">
        <v>2021</v>
      </c>
      <c r="I10" s="19" t="n">
        <f aca="false">SUMIFS($F$5:$F$40,$A$5:$A$40,H10,$E$5:$E$40,"Standard")</f>
        <v>66255243</v>
      </c>
      <c r="J10" s="19" t="n">
        <f aca="false">SUMIFS($F$5:$F$40,$A$5:$A$40,H10,$E$5:$E$40,"State or Local Gov")</f>
        <v>10417913</v>
      </c>
      <c r="K10" s="19" t="n">
        <f aca="false">SUMIFS($F$5:$F$40,$A$5:$A$40,H10,$E$5:$E$40,"Recovery")</f>
        <v>0</v>
      </c>
      <c r="L10" s="19" t="n">
        <f aca="false">SUM(I10:K10)</f>
        <v>76673156</v>
      </c>
      <c r="M10" s="20" t="n">
        <f aca="false">IF(L10&gt;0,J10/L10,"")</f>
        <v>0.135874320864006</v>
      </c>
    </row>
    <row r="11" customFormat="false" ht="15" hidden="false" customHeight="false" outlineLevel="0" collapsed="false">
      <c r="A11" s="18" t="n">
        <v>2021</v>
      </c>
      <c r="B11" s="18" t="n">
        <v>2</v>
      </c>
      <c r="C11" s="18" t="n">
        <f aca="false">A11+B11/10</f>
        <v>2021.2</v>
      </c>
      <c r="D11" s="18" t="s">
        <v>278</v>
      </c>
      <c r="E11" s="18" t="s">
        <v>279</v>
      </c>
      <c r="F11" s="26" t="n">
        <v>11687418</v>
      </c>
      <c r="H11" s="18" t="n">
        <v>2022</v>
      </c>
      <c r="I11" s="19" t="n">
        <f aca="false">SUMIFS($F$5:$F$40,$A$5:$A$40,H11,$E$5:$E$40,"Standard")</f>
        <v>16304729</v>
      </c>
      <c r="J11" s="19" t="n">
        <f aca="false">SUMIFS($F$5:$F$40,$A$5:$A$40,H11,$E$5:$E$40,"State or Local Gov")</f>
        <v>0</v>
      </c>
      <c r="K11" s="19" t="n">
        <f aca="false">SUMIFS($F$5:$F$40,$A$5:$A$40,H11,$E$5:$E$40,"Recovery")</f>
        <v>6348372</v>
      </c>
      <c r="L11" s="19" t="n">
        <f aca="false">SUM(I11:K11)</f>
        <v>22653101</v>
      </c>
      <c r="M11" s="20" t="n">
        <f aca="false">IF(L11&gt;0,J11/L11,"")</f>
        <v>0</v>
      </c>
    </row>
    <row r="12" customFormat="false" ht="15" hidden="false" customHeight="false" outlineLevel="0" collapsed="false">
      <c r="A12" s="18" t="n">
        <v>2021</v>
      </c>
      <c r="B12" s="18" t="n">
        <v>2</v>
      </c>
      <c r="C12" s="18" t="n">
        <f aca="false">A12+B12/10</f>
        <v>2021.2</v>
      </c>
      <c r="D12" s="18" t="s">
        <v>280</v>
      </c>
      <c r="E12" s="18" t="s">
        <v>279</v>
      </c>
      <c r="F12" s="26" t="n">
        <v>3887278</v>
      </c>
      <c r="H12" s="18" t="n">
        <v>2023</v>
      </c>
      <c r="I12" s="19" t="n">
        <f aca="false">SUMIFS($F$5:$F$40,$A$5:$A$40,H12,$E$5:$E$40,"Standard")</f>
        <v>53148289</v>
      </c>
      <c r="J12" s="19" t="n">
        <f aca="false">SUMIFS($F$5:$F$40,$A$5:$A$40,H12,$E$5:$E$40,"State or Local Gov")</f>
        <v>22683187</v>
      </c>
      <c r="K12" s="19" t="n">
        <f aca="false">SUMIFS($F$5:$F$40,$A$5:$A$40,H12,$E$5:$E$40,"Recovery")</f>
        <v>0</v>
      </c>
      <c r="L12" s="19" t="n">
        <f aca="false">SUM(I12:K12)</f>
        <v>75831476</v>
      </c>
      <c r="M12" s="20" t="n">
        <f aca="false">IF(L12&gt;0,J12/L12,"")</f>
        <v>0.299126275743334</v>
      </c>
    </row>
    <row r="13" customFormat="false" ht="15" hidden="false" customHeight="false" outlineLevel="0" collapsed="false">
      <c r="A13" s="18" t="n">
        <v>2021</v>
      </c>
      <c r="B13" s="18" t="n">
        <v>3</v>
      </c>
      <c r="C13" s="18" t="n">
        <f aca="false">A13+B13/10</f>
        <v>2021.3</v>
      </c>
      <c r="D13" s="18" t="s">
        <v>278</v>
      </c>
      <c r="E13" s="18" t="s">
        <v>279</v>
      </c>
      <c r="F13" s="26" t="n">
        <v>5661027</v>
      </c>
      <c r="H13" s="18" t="n">
        <v>2024</v>
      </c>
      <c r="I13" s="19" t="n">
        <f aca="false">SUMIFS($F$5:$F$40,$A$5:$A$40,H13,$E$5:$E$40,"Standard")</f>
        <v>12296946</v>
      </c>
      <c r="J13" s="19" t="n">
        <f aca="false">SUMIFS($F$5:$F$40,$A$5:$A$40,H13,$E$5:$E$40,"State or Local Gov")</f>
        <v>22154653</v>
      </c>
      <c r="K13" s="19" t="n">
        <f aca="false">SUMIFS($F$5:$F$40,$A$5:$A$40,H13,$E$5:$E$40,"Recovery")</f>
        <v>0</v>
      </c>
      <c r="L13" s="19" t="n">
        <f aca="false">SUM(I13:K13)</f>
        <v>34451599</v>
      </c>
      <c r="M13" s="20" t="n">
        <f aca="false">IF(L13&gt;0,J13/L13,"")</f>
        <v>0.643066030113726</v>
      </c>
    </row>
    <row r="14" customFormat="false" ht="15" hidden="false" customHeight="false" outlineLevel="0" collapsed="false">
      <c r="A14" s="18" t="n">
        <v>2021</v>
      </c>
      <c r="B14" s="18" t="n">
        <v>4</v>
      </c>
      <c r="C14" s="18" t="n">
        <f aca="false">A14+B14/10</f>
        <v>2021.4</v>
      </c>
      <c r="D14" s="18" t="s">
        <v>278</v>
      </c>
      <c r="E14" s="18" t="s">
        <v>279</v>
      </c>
      <c r="F14" s="26" t="n">
        <v>11322054</v>
      </c>
      <c r="H14" s="18" t="n">
        <v>2025</v>
      </c>
      <c r="I14" s="19" t="n">
        <f aca="false">SUMIFS($F$5:$F$40,$A$5:$A$40,H14,$E$5:$E$40,"Standard")</f>
        <v>884201</v>
      </c>
      <c r="J14" s="19" t="n">
        <f aca="false">SUMIFS($F$5:$F$40,$A$5:$A$40,H14,$E$5:$E$40,"State or Local Gov")</f>
        <v>10450824</v>
      </c>
      <c r="K14" s="19" t="n">
        <f aca="false">SUMIFS($F$5:$F$40,$A$5:$A$40,H14,$E$5:$E$40,"Recovery")</f>
        <v>0</v>
      </c>
      <c r="L14" s="19" t="n">
        <f aca="false">SUM(I14:K14)</f>
        <v>11335025</v>
      </c>
      <c r="M14" s="20" t="n">
        <f aca="false">IF(L14&gt;0,J14/L14,"")</f>
        <v>0.921993908262223</v>
      </c>
    </row>
    <row r="15" customFormat="false" ht="15" hidden="false" customHeight="false" outlineLevel="0" collapsed="false">
      <c r="A15" s="18" t="n">
        <v>2021</v>
      </c>
      <c r="B15" s="18" t="n">
        <v>4</v>
      </c>
      <c r="C15" s="18" t="n">
        <f aca="false">A15+B15/10</f>
        <v>2021.4</v>
      </c>
      <c r="D15" s="18" t="s">
        <v>280</v>
      </c>
      <c r="E15" s="18" t="s">
        <v>273</v>
      </c>
      <c r="F15" s="26" t="n">
        <v>523644</v>
      </c>
      <c r="H15" s="18" t="n">
        <v>2026</v>
      </c>
      <c r="I15" s="19" t="n">
        <f aca="false">SUMIFS($F$5:$F$40,$A$5:$A$40,H15,$E$5:$E$40,"Standard")</f>
        <v>0</v>
      </c>
      <c r="J15" s="19" t="n">
        <f aca="false">SUMIFS($F$5:$F$40,$A$5:$A$40,H15,$E$5:$E$40,"State or Local Gov")</f>
        <v>38769551</v>
      </c>
      <c r="K15" s="19" t="n">
        <f aca="false">SUMIFS($F$5:$F$40,$A$5:$A$40,H15,$E$5:$E$40,"Recovery")</f>
        <v>0</v>
      </c>
      <c r="L15" s="19" t="n">
        <f aca="false">SUM(I15:K15)</f>
        <v>38769551</v>
      </c>
      <c r="M15" s="20" t="n">
        <f aca="false">IF(L15&gt;0,J15/L15,"")</f>
        <v>1</v>
      </c>
    </row>
    <row r="16" customFormat="false" ht="15" hidden="false" customHeight="false" outlineLevel="0" collapsed="false">
      <c r="A16" s="18" t="n">
        <v>2022</v>
      </c>
      <c r="B16" s="18" t="n">
        <v>1</v>
      </c>
      <c r="C16" s="18" t="n">
        <f aca="false">A16+B16/10</f>
        <v>2022.1</v>
      </c>
      <c r="D16" s="18" t="s">
        <v>278</v>
      </c>
      <c r="E16" s="18" t="s">
        <v>279</v>
      </c>
      <c r="F16" s="26" t="n">
        <v>10634709</v>
      </c>
      <c r="H16" s="22" t="s">
        <v>100</v>
      </c>
      <c r="I16" s="23" t="n">
        <f aca="false">SUM(I6:I15)</f>
        <v>174946064</v>
      </c>
      <c r="J16" s="23" t="n">
        <f aca="false">SUM(J6:J15)</f>
        <v>112636717</v>
      </c>
      <c r="K16" s="23" t="n">
        <f aca="false">SUM(K6:K15)</f>
        <v>6348372</v>
      </c>
      <c r="L16" s="23" t="n">
        <f aca="false">SUM(L6:L15)</f>
        <v>293931153</v>
      </c>
      <c r="M16" s="24" t="n">
        <f aca="false">J16/L16</f>
        <v>0.383207822139221</v>
      </c>
    </row>
    <row r="17" customFormat="false" ht="15" hidden="false" customHeight="false" outlineLevel="0" collapsed="false">
      <c r="A17" s="18" t="n">
        <v>2022</v>
      </c>
      <c r="B17" s="18" t="n">
        <v>1</v>
      </c>
      <c r="C17" s="18" t="n">
        <f aca="false">A17+B17/10</f>
        <v>2022.1</v>
      </c>
      <c r="D17" s="18" t="s">
        <v>280</v>
      </c>
      <c r="E17" s="18" t="s">
        <v>282</v>
      </c>
      <c r="F17" s="26" t="n">
        <v>6348372</v>
      </c>
    </row>
    <row r="18" customFormat="false" ht="15" hidden="false" customHeight="false" outlineLevel="0" collapsed="false">
      <c r="A18" s="18" t="n">
        <v>2022</v>
      </c>
      <c r="B18" s="18" t="n">
        <v>3</v>
      </c>
      <c r="C18" s="18" t="n">
        <f aca="false">A18+B18/10</f>
        <v>2022.3</v>
      </c>
      <c r="D18" s="18" t="s">
        <v>283</v>
      </c>
      <c r="E18" s="18" t="s">
        <v>279</v>
      </c>
      <c r="F18" s="26" t="n">
        <v>2248</v>
      </c>
      <c r="H18" s="31" t="s">
        <v>284</v>
      </c>
    </row>
    <row r="19" customFormat="false" ht="23.85" hidden="false" customHeight="false" outlineLevel="0" collapsed="false">
      <c r="A19" s="18" t="n">
        <v>2022</v>
      </c>
      <c r="B19" s="18" t="n">
        <v>4</v>
      </c>
      <c r="C19" s="18" t="n">
        <f aca="false">A19+B19/10</f>
        <v>2022.4</v>
      </c>
      <c r="D19" s="18" t="s">
        <v>283</v>
      </c>
      <c r="E19" s="18" t="s">
        <v>279</v>
      </c>
      <c r="F19" s="26" t="n">
        <v>6745</v>
      </c>
      <c r="H19" s="5" t="s">
        <v>268</v>
      </c>
      <c r="I19" s="5" t="s">
        <v>274</v>
      </c>
      <c r="J19" s="5" t="s">
        <v>275</v>
      </c>
      <c r="K19" s="5" t="s">
        <v>276</v>
      </c>
      <c r="L19" s="5" t="s">
        <v>100</v>
      </c>
      <c r="M19" s="5" t="s">
        <v>285</v>
      </c>
    </row>
    <row r="20" customFormat="false" ht="15" hidden="false" customHeight="false" outlineLevel="0" collapsed="false">
      <c r="A20" s="18" t="n">
        <v>2022</v>
      </c>
      <c r="B20" s="18" t="n">
        <v>4</v>
      </c>
      <c r="C20" s="18" t="n">
        <f aca="false">A20+B20/10</f>
        <v>2022.4</v>
      </c>
      <c r="D20" s="18" t="s">
        <v>280</v>
      </c>
      <c r="E20" s="18" t="s">
        <v>279</v>
      </c>
      <c r="F20" s="26" t="n">
        <v>5661027</v>
      </c>
      <c r="H20" s="18" t="s">
        <v>272</v>
      </c>
      <c r="I20" s="19" t="n">
        <f aca="false">SUMIFS($F$5:$F$40,$D$5:$D$40,H20,$E$5:$E$40,"Standard")</f>
        <v>0</v>
      </c>
      <c r="J20" s="19" t="n">
        <f aca="false">SUMIFS($F$5:$F$40,$D$5:$D$40,H20,$E$5:$E$40,"State or Local Gov")</f>
        <v>8160589</v>
      </c>
      <c r="K20" s="19" t="n">
        <f aca="false">SUMIFS($F$5:$F$40,$D$5:$D$40,H20,$E$5:$E$40,"Recovery")</f>
        <v>0</v>
      </c>
      <c r="L20" s="19" t="n">
        <f aca="false">SUM(I20:K20)</f>
        <v>8160589</v>
      </c>
      <c r="M20" s="18" t="s">
        <v>286</v>
      </c>
    </row>
    <row r="21" customFormat="false" ht="15" hidden="false" customHeight="false" outlineLevel="0" collapsed="false">
      <c r="A21" s="18" t="n">
        <v>2023</v>
      </c>
      <c r="B21" s="18" t="n">
        <v>1</v>
      </c>
      <c r="C21" s="18" t="n">
        <f aca="false">A21+B21/10</f>
        <v>2023.1</v>
      </c>
      <c r="D21" s="18" t="s">
        <v>283</v>
      </c>
      <c r="E21" s="18" t="s">
        <v>279</v>
      </c>
      <c r="F21" s="26" t="n">
        <v>14963</v>
      </c>
      <c r="H21" s="18" t="s">
        <v>278</v>
      </c>
      <c r="I21" s="19" t="n">
        <f aca="false">SUMIFS($F$5:$F$40,$D$5:$D$40,H21,$E$5:$E$40,"Standard")</f>
        <v>84467339</v>
      </c>
      <c r="J21" s="19" t="n">
        <f aca="false">SUMIFS($F$5:$F$40,$D$5:$D$40,H21,$E$5:$E$40,"State or Local Gov")</f>
        <v>0</v>
      </c>
      <c r="K21" s="19" t="n">
        <f aca="false">SUMIFS($F$5:$F$40,$D$5:$D$40,H21,$E$5:$E$40,"Recovery")</f>
        <v>0</v>
      </c>
      <c r="L21" s="19" t="n">
        <f aca="false">SUM(I21:K21)</f>
        <v>84467339</v>
      </c>
      <c r="M21" s="18" t="s">
        <v>287</v>
      </c>
    </row>
    <row r="22" customFormat="false" ht="15" hidden="false" customHeight="false" outlineLevel="0" collapsed="false">
      <c r="A22" s="18" t="n">
        <v>2023</v>
      </c>
      <c r="B22" s="18" t="n">
        <v>1</v>
      </c>
      <c r="C22" s="18" t="n">
        <f aca="false">A22+B22/10</f>
        <v>2023.1</v>
      </c>
      <c r="D22" s="18" t="s">
        <v>280</v>
      </c>
      <c r="E22" s="18" t="s">
        <v>279</v>
      </c>
      <c r="F22" s="26" t="n">
        <v>41941204</v>
      </c>
      <c r="H22" s="18" t="s">
        <v>280</v>
      </c>
      <c r="I22" s="19" t="n">
        <f aca="false">SUMIFS($F$5:$F$40,$D$5:$D$40,H22,$E$5:$E$40,"Standard")</f>
        <v>90450519</v>
      </c>
      <c r="J22" s="19" t="n">
        <f aca="false">SUMIFS($F$5:$F$40,$D$5:$D$40,H22,$E$5:$E$40,"State or Local Gov")</f>
        <v>104458254</v>
      </c>
      <c r="K22" s="19" t="n">
        <f aca="false">SUMIFS($F$5:$F$40,$D$5:$D$40,H22,$E$5:$E$40,"Recovery")</f>
        <v>6348372</v>
      </c>
      <c r="L22" s="19" t="n">
        <f aca="false">SUM(I22:K22)</f>
        <v>201257145</v>
      </c>
      <c r="M22" s="18" t="s">
        <v>288</v>
      </c>
    </row>
    <row r="23" customFormat="false" ht="15" hidden="false" customHeight="false" outlineLevel="0" collapsed="false">
      <c r="A23" s="18" t="n">
        <v>2023</v>
      </c>
      <c r="B23" s="18" t="n">
        <v>2</v>
      </c>
      <c r="C23" s="18" t="n">
        <f aca="false">A23+B23/10</f>
        <v>2023.2</v>
      </c>
      <c r="D23" s="18" t="s">
        <v>280</v>
      </c>
      <c r="E23" s="18" t="s">
        <v>279</v>
      </c>
      <c r="F23" s="26" t="n">
        <v>5932139</v>
      </c>
      <c r="H23" s="18" t="s">
        <v>281</v>
      </c>
      <c r="I23" s="19" t="n">
        <f aca="false">SUMIFS($F$5:$F$40,$D$5:$D$40,H23,$E$5:$E$40,"Standard")</f>
        <v>0</v>
      </c>
      <c r="J23" s="19" t="n">
        <f aca="false">SUMIFS($F$5:$F$40,$D$5:$D$40,H23,$E$5:$E$40,"State or Local Gov")</f>
        <v>17874</v>
      </c>
      <c r="K23" s="19" t="n">
        <f aca="false">SUMIFS($F$5:$F$40,$D$5:$D$40,H23,$E$5:$E$40,"Recovery")</f>
        <v>0</v>
      </c>
      <c r="L23" s="19" t="n">
        <f aca="false">SUM(I23:K23)</f>
        <v>17874</v>
      </c>
      <c r="M23" s="18" t="s">
        <v>289</v>
      </c>
    </row>
    <row r="24" customFormat="false" ht="15" hidden="false" customHeight="false" outlineLevel="0" collapsed="false">
      <c r="A24" s="18" t="n">
        <v>2023</v>
      </c>
      <c r="B24" s="18" t="n">
        <v>2</v>
      </c>
      <c r="C24" s="18" t="n">
        <f aca="false">A24+B24/10</f>
        <v>2023.2</v>
      </c>
      <c r="D24" s="18" t="s">
        <v>280</v>
      </c>
      <c r="E24" s="18" t="s">
        <v>273</v>
      </c>
      <c r="F24" s="26" t="n">
        <v>11696945</v>
      </c>
      <c r="H24" s="18" t="s">
        <v>283</v>
      </c>
      <c r="I24" s="19" t="n">
        <f aca="false">SUMIFS($F$5:$F$40,$D$5:$D$40,H24,$E$5:$E$40,"Standard")</f>
        <v>28206</v>
      </c>
      <c r="J24" s="19" t="n">
        <f aca="false">SUMIFS($F$5:$F$40,$D$5:$D$40,H24,$E$5:$E$40,"State or Local Gov")</f>
        <v>0</v>
      </c>
      <c r="K24" s="19" t="n">
        <f aca="false">SUMIFS($F$5:$F$40,$D$5:$D$40,H24,$E$5:$E$40,"Recovery")</f>
        <v>0</v>
      </c>
      <c r="L24" s="19" t="n">
        <f aca="false">SUM(I24:K24)</f>
        <v>28206</v>
      </c>
      <c r="M24" s="18" t="s">
        <v>290</v>
      </c>
    </row>
    <row r="25" customFormat="false" ht="15" hidden="false" customHeight="false" outlineLevel="0" collapsed="false">
      <c r="A25" s="18" t="n">
        <v>2023</v>
      </c>
      <c r="B25" s="18" t="n">
        <v>4</v>
      </c>
      <c r="C25" s="18" t="n">
        <f aca="false">A25+B25/10</f>
        <v>2023.4</v>
      </c>
      <c r="D25" s="18" t="s">
        <v>283</v>
      </c>
      <c r="E25" s="18" t="s">
        <v>279</v>
      </c>
      <c r="F25" s="26" t="n">
        <v>2000</v>
      </c>
    </row>
    <row r="26" customFormat="false" ht="15" hidden="false" customHeight="false" outlineLevel="0" collapsed="false">
      <c r="A26" s="18" t="n">
        <v>2023</v>
      </c>
      <c r="B26" s="18" t="n">
        <v>4</v>
      </c>
      <c r="C26" s="18" t="n">
        <f aca="false">A26+B26/10</f>
        <v>2023.4</v>
      </c>
      <c r="D26" s="18" t="s">
        <v>280</v>
      </c>
      <c r="E26" s="18" t="s">
        <v>279</v>
      </c>
      <c r="F26" s="26" t="n">
        <v>5257983</v>
      </c>
      <c r="H26" s="31" t="s">
        <v>291</v>
      </c>
    </row>
    <row r="27" customFormat="false" ht="15" hidden="false" customHeight="false" outlineLevel="0" collapsed="false">
      <c r="A27" s="18" t="n">
        <v>2023</v>
      </c>
      <c r="B27" s="18" t="n">
        <v>4</v>
      </c>
      <c r="C27" s="18" t="n">
        <f aca="false">A27+B27/10</f>
        <v>2023.4</v>
      </c>
      <c r="D27" s="18" t="s">
        <v>280</v>
      </c>
      <c r="E27" s="18" t="s">
        <v>273</v>
      </c>
      <c r="F27" s="26" t="n">
        <v>10986242</v>
      </c>
      <c r="H27" s="18" t="s">
        <v>292</v>
      </c>
      <c r="I27" s="19" t="n">
        <f aca="false">SUMIFS($F$5:$F$40,$D$5:$D$40,"336413",$C$5:$C$40,"&gt;=2025.3")</f>
        <v>39276140</v>
      </c>
    </row>
    <row r="28" customFormat="false" ht="15" hidden="false" customHeight="false" outlineLevel="0" collapsed="false">
      <c r="A28" s="18" t="n">
        <v>2024</v>
      </c>
      <c r="B28" s="18" t="n">
        <v>1</v>
      </c>
      <c r="C28" s="18" t="n">
        <f aca="false">A28+B28/10</f>
        <v>2024.1</v>
      </c>
      <c r="D28" s="18" t="s">
        <v>283</v>
      </c>
      <c r="E28" s="18" t="s">
        <v>279</v>
      </c>
      <c r="F28" s="26" t="n">
        <v>2250</v>
      </c>
      <c r="H28" s="18" t="s">
        <v>293</v>
      </c>
      <c r="I28" s="19" t="n">
        <f aca="false">SUMIFS($F$5:$F$40,$E$5:$E$40,"State or Local Gov",$A$5:$A$40,"&gt;=2025")</f>
        <v>49220375</v>
      </c>
    </row>
    <row r="29" customFormat="false" ht="15" hidden="false" customHeight="false" outlineLevel="0" collapsed="false">
      <c r="A29" s="18" t="n">
        <v>2024</v>
      </c>
      <c r="B29" s="18" t="n">
        <v>1</v>
      </c>
      <c r="C29" s="18" t="n">
        <f aca="false">A29+B29/10</f>
        <v>2024.1</v>
      </c>
      <c r="D29" s="18" t="s">
        <v>280</v>
      </c>
      <c r="E29" s="18" t="s">
        <v>279</v>
      </c>
      <c r="F29" s="26" t="n">
        <v>12209696</v>
      </c>
      <c r="H29" s="18" t="s">
        <v>294</v>
      </c>
      <c r="I29" s="19" t="n">
        <f aca="false">J16</f>
        <v>112636717</v>
      </c>
    </row>
    <row r="30" customFormat="false" ht="15" hidden="false" customHeight="false" outlineLevel="0" collapsed="false">
      <c r="A30" s="18" t="n">
        <v>2024</v>
      </c>
      <c r="B30" s="18" t="n">
        <v>1</v>
      </c>
      <c r="C30" s="18" t="n">
        <f aca="false">A30+B30/10</f>
        <v>2024.1</v>
      </c>
      <c r="D30" s="18" t="s">
        <v>280</v>
      </c>
      <c r="E30" s="18" t="s">
        <v>273</v>
      </c>
      <c r="F30" s="26" t="n">
        <v>6167178</v>
      </c>
      <c r="H30" s="18" t="s">
        <v>295</v>
      </c>
      <c r="I30" s="19" t="n">
        <f aca="false">J16-I28</f>
        <v>63416342</v>
      </c>
    </row>
    <row r="31" customFormat="false" ht="15" hidden="false" customHeight="false" outlineLevel="0" collapsed="false">
      <c r="A31" s="18" t="n">
        <v>2024</v>
      </c>
      <c r="B31" s="18" t="n">
        <v>2</v>
      </c>
      <c r="C31" s="18" t="n">
        <f aca="false">A31+B31/10</f>
        <v>2024.2</v>
      </c>
      <c r="D31" s="18" t="s">
        <v>280</v>
      </c>
      <c r="E31" s="18" t="s">
        <v>273</v>
      </c>
      <c r="F31" s="26" t="n">
        <v>10309749</v>
      </c>
      <c r="H31" s="18" t="s">
        <v>296</v>
      </c>
      <c r="I31" s="20" t="n">
        <f aca="false">J16/L16</f>
        <v>0.383207822139221</v>
      </c>
    </row>
    <row r="32" customFormat="false" ht="15" hidden="false" customHeight="false" outlineLevel="0" collapsed="false">
      <c r="A32" s="18" t="n">
        <v>2024</v>
      </c>
      <c r="B32" s="18" t="n">
        <v>3</v>
      </c>
      <c r="C32" s="18" t="n">
        <f aca="false">A32+B32/10</f>
        <v>2024.3</v>
      </c>
      <c r="D32" s="18" t="s">
        <v>280</v>
      </c>
      <c r="E32" s="18" t="s">
        <v>273</v>
      </c>
      <c r="F32" s="26" t="n">
        <v>5677726</v>
      </c>
      <c r="H32" s="18" t="s">
        <v>297</v>
      </c>
      <c r="I32" s="20" t="n">
        <f aca="false">I30/L16</f>
        <v>0.215752367017728</v>
      </c>
    </row>
    <row r="33" customFormat="false" ht="15" hidden="false" customHeight="false" outlineLevel="0" collapsed="false">
      <c r="A33" s="18" t="n">
        <v>2024</v>
      </c>
      <c r="B33" s="18" t="n">
        <v>4</v>
      </c>
      <c r="C33" s="18" t="n">
        <f aca="false">A33+B33/10</f>
        <v>2024.4</v>
      </c>
      <c r="D33" s="18" t="s">
        <v>280</v>
      </c>
      <c r="E33" s="18" t="s">
        <v>279</v>
      </c>
      <c r="F33" s="26" t="n">
        <v>85000</v>
      </c>
      <c r="H33" s="18" t="s">
        <v>298</v>
      </c>
      <c r="I33" s="32" t="n">
        <v>6.5</v>
      </c>
    </row>
    <row r="34" customFormat="false" ht="15" hidden="false" customHeight="false" outlineLevel="0" collapsed="false">
      <c r="A34" s="18" t="n">
        <v>2025</v>
      </c>
      <c r="B34" s="18" t="n">
        <v>1</v>
      </c>
      <c r="C34" s="18" t="n">
        <f aca="false">A34+B34/10</f>
        <v>2025.1</v>
      </c>
      <c r="D34" s="18" t="s">
        <v>280</v>
      </c>
      <c r="E34" s="18" t="s">
        <v>279</v>
      </c>
      <c r="F34" s="26" t="n">
        <v>255629</v>
      </c>
      <c r="H34" s="18" t="s">
        <v>299</v>
      </c>
      <c r="I34" s="19" t="n">
        <f aca="false">L16/I33</f>
        <v>45220177.3846154</v>
      </c>
    </row>
    <row r="35" customFormat="false" ht="15" hidden="false" customHeight="false" outlineLevel="0" collapsed="false">
      <c r="A35" s="18" t="n">
        <v>2025</v>
      </c>
      <c r="B35" s="18" t="n">
        <v>1</v>
      </c>
      <c r="C35" s="18" t="n">
        <f aca="false">A35+B35/10</f>
        <v>2025.1</v>
      </c>
      <c r="D35" s="18" t="s">
        <v>280</v>
      </c>
      <c r="E35" s="18" t="s">
        <v>273</v>
      </c>
      <c r="F35" s="26" t="n">
        <v>3875000</v>
      </c>
      <c r="H35" s="18" t="s">
        <v>300</v>
      </c>
      <c r="I35" s="19" t="n">
        <f aca="false">I30/I33</f>
        <v>9756360.30769231</v>
      </c>
    </row>
    <row r="36" customFormat="false" ht="15" hidden="false" customHeight="false" outlineLevel="0" collapsed="false">
      <c r="A36" s="18" t="n">
        <v>2025</v>
      </c>
      <c r="B36" s="18" t="n">
        <v>2</v>
      </c>
      <c r="C36" s="18" t="n">
        <f aca="false">A36+B36/10</f>
        <v>2025.2</v>
      </c>
      <c r="D36" s="18" t="s">
        <v>280</v>
      </c>
      <c r="E36" s="18" t="s">
        <v>279</v>
      </c>
      <c r="F36" s="26" t="n">
        <v>121983</v>
      </c>
      <c r="H36" s="18" t="s">
        <v>301</v>
      </c>
      <c r="I36" s="19" t="n">
        <f aca="false">J16/I33</f>
        <v>17328725.6923077</v>
      </c>
    </row>
    <row r="37" customFormat="false" ht="15" hidden="false" customHeight="false" outlineLevel="0" collapsed="false">
      <c r="A37" s="18" t="n">
        <v>2025</v>
      </c>
      <c r="B37" s="18" t="n">
        <v>2</v>
      </c>
      <c r="C37" s="18" t="n">
        <f aca="false">A37+B37/10</f>
        <v>2025.2</v>
      </c>
      <c r="D37" s="18" t="s">
        <v>280</v>
      </c>
      <c r="E37" s="18" t="s">
        <v>273</v>
      </c>
      <c r="F37" s="26" t="n">
        <v>6575824</v>
      </c>
      <c r="H37" s="25" t="s">
        <v>302</v>
      </c>
    </row>
    <row r="38" customFormat="false" ht="15" hidden="false" customHeight="false" outlineLevel="0" collapsed="false">
      <c r="A38" s="18" t="n">
        <v>2025</v>
      </c>
      <c r="B38" s="18" t="n">
        <v>4</v>
      </c>
      <c r="C38" s="18" t="n">
        <f aca="false">A38+B38/10</f>
        <v>2025.4</v>
      </c>
      <c r="D38" s="18" t="s">
        <v>280</v>
      </c>
      <c r="E38" s="18" t="s">
        <v>279</v>
      </c>
      <c r="F38" s="26" t="n">
        <v>506589</v>
      </c>
    </row>
    <row r="39" customFormat="false" ht="15" hidden="false" customHeight="false" outlineLevel="0" collapsed="false">
      <c r="A39" s="18" t="n">
        <v>2026</v>
      </c>
      <c r="B39" s="18" t="n">
        <v>1</v>
      </c>
      <c r="C39" s="18" t="n">
        <f aca="false">A39+B39/10</f>
        <v>2026.1</v>
      </c>
      <c r="D39" s="18" t="s">
        <v>280</v>
      </c>
      <c r="E39" s="18" t="s">
        <v>273</v>
      </c>
      <c r="F39" s="26" t="n">
        <v>3883902</v>
      </c>
    </row>
    <row r="40" customFormat="false" ht="15" hidden="false" customHeight="false" outlineLevel="0" collapsed="false">
      <c r="A40" s="18" t="n">
        <v>2026</v>
      </c>
      <c r="B40" s="18" t="n">
        <v>2</v>
      </c>
      <c r="C40" s="18" t="n">
        <f aca="false">A40+B40/10</f>
        <v>2026.2</v>
      </c>
      <c r="D40" s="18" t="s">
        <v>280</v>
      </c>
      <c r="E40" s="18" t="s">
        <v>273</v>
      </c>
      <c r="F40" s="26" t="n">
        <v>34885649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4" customFormat="false" ht="15" hidden="false" customHeight="false" outlineLevel="0" collapsed="false">
      <c r="A4" s="12" t="s">
        <v>305</v>
      </c>
      <c r="B4" s="13"/>
      <c r="C4" s="13"/>
      <c r="D4" s="13"/>
      <c r="E4" s="13"/>
      <c r="F4" s="13"/>
      <c r="G4" s="13"/>
    </row>
    <row r="5" customFormat="false" ht="35.05" hidden="false" customHeight="false" outlineLevel="0" collapsed="false">
      <c r="A5" s="5" t="s">
        <v>106</v>
      </c>
      <c r="B5" s="5" t="s">
        <v>70</v>
      </c>
      <c r="C5" s="5" t="s">
        <v>306</v>
      </c>
      <c r="D5" s="5" t="s">
        <v>307</v>
      </c>
      <c r="E5" s="5" t="s">
        <v>308</v>
      </c>
      <c r="F5" s="5" t="s">
        <v>309</v>
      </c>
      <c r="G5" s="5" t="s">
        <v>310</v>
      </c>
    </row>
    <row r="6" customFormat="false" ht="15" hidden="false" customHeight="false" outlineLevel="0" collapsed="false">
      <c r="A6" s="18" t="s">
        <v>90</v>
      </c>
      <c r="B6" s="19" t="n">
        <f aca="false">SUMIFS(Purchases!$H$5:$H$24,Purchases!$B$5:$B$24,A6)</f>
        <v>323050000</v>
      </c>
      <c r="C6" s="20" t="n">
        <f aca="false">B6/Purchases!$H$25</f>
        <v>0.633989531960491</v>
      </c>
      <c r="D6" s="18" t="n">
        <f aca="false">SUMIFS(Purchases!$G$5:$G$24,Purchases!$B$5:$B$24,A6)</f>
        <v>42</v>
      </c>
      <c r="E6" s="18" t="n">
        <f aca="false">COUNTIFS(Purchases!$B$5:$B$24,A6)</f>
        <v>5</v>
      </c>
      <c r="F6" s="33" t="n">
        <f aca="false">IFERROR(AVERAGEIFS(Purchases!$J$5:$J$24,Purchases!$B$5:$B$24,A6),"n/r")</f>
        <v>1.2</v>
      </c>
      <c r="G6" s="18" t="s">
        <v>135</v>
      </c>
    </row>
    <row r="7" customFormat="false" ht="15" hidden="false" customHeight="false" outlineLevel="0" collapsed="false">
      <c r="A7" s="18" t="s">
        <v>188</v>
      </c>
      <c r="B7" s="19" t="n">
        <f aca="false">SUMIFS(Purchases!$H$5:$H$24,Purchases!$B$5:$B$24,A7)</f>
        <v>53240000</v>
      </c>
      <c r="C7" s="20" t="n">
        <f aca="false">B7/Purchases!$H$25</f>
        <v>0.104484143883537</v>
      </c>
      <c r="D7" s="18" t="n">
        <f aca="false">SUMIFS(Purchases!$G$5:$G$24,Purchases!$B$5:$B$24,A7)</f>
        <v>0</v>
      </c>
      <c r="E7" s="18" t="n">
        <f aca="false">COUNTIFS(Purchases!$B$5:$B$24,A7)</f>
        <v>1</v>
      </c>
      <c r="F7" s="33" t="n">
        <f aca="false">IFERROR(AVERAGEIFS(Purchases!$J$5:$J$24,Purchases!$B$5:$B$24,A7),"n/r")</f>
        <v>1</v>
      </c>
      <c r="G7" s="18" t="s">
        <v>142</v>
      </c>
    </row>
    <row r="8" customFormat="false" ht="15" hidden="false" customHeight="false" outlineLevel="0" collapsed="false">
      <c r="A8" s="18" t="s">
        <v>172</v>
      </c>
      <c r="B8" s="19" t="n">
        <f aca="false">SUMIFS(Purchases!$H$5:$H$24,Purchases!$B$5:$B$24,A8)</f>
        <v>36006000</v>
      </c>
      <c r="C8" s="20" t="n">
        <f aca="false">B8/Purchases!$H$25</f>
        <v>0.0706622104558719</v>
      </c>
      <c r="D8" s="18" t="n">
        <f aca="false">SUMIFS(Purchases!$G$5:$G$24,Purchases!$B$5:$B$24,A8)</f>
        <v>2</v>
      </c>
      <c r="E8" s="18" t="n">
        <f aca="false">COUNTIFS(Purchases!$B$5:$B$24,A8)</f>
        <v>1</v>
      </c>
      <c r="F8" s="33" t="n">
        <f aca="false">IFERROR(AVERAGEIFS(Purchases!$J$5:$J$24,Purchases!$B$5:$B$24,A8),"n/r")</f>
        <v>4</v>
      </c>
      <c r="G8" s="18" t="s">
        <v>173</v>
      </c>
    </row>
    <row r="9" customFormat="false" ht="15" hidden="false" customHeight="false" outlineLevel="0" collapsed="false">
      <c r="A9" s="18" t="s">
        <v>140</v>
      </c>
      <c r="B9" s="19" t="n">
        <f aca="false">SUMIFS(Purchases!$H$5:$H$24,Purchases!$B$5:$B$24,A9)</f>
        <v>35932000</v>
      </c>
      <c r="C9" s="20" t="n">
        <f aca="false">B9/Purchases!$H$25</f>
        <v>0.0705169845609174</v>
      </c>
      <c r="D9" s="18" t="n">
        <f aca="false">SUMIFS(Purchases!$G$5:$G$24,Purchases!$B$5:$B$24,A9)</f>
        <v>5</v>
      </c>
      <c r="E9" s="18" t="n">
        <f aca="false">COUNTIFS(Purchases!$B$5:$B$24,A9)</f>
        <v>2</v>
      </c>
      <c r="F9" s="33" t="str">
        <f aca="false">IFERROR(AVERAGEIFS(Purchases!$J$5:$J$24,Purchases!$B$5:$B$24,A9),"n/r")</f>
        <v>n/r</v>
      </c>
      <c r="G9" s="18" t="s">
        <v>142</v>
      </c>
    </row>
    <row r="10" customFormat="false" ht="15" hidden="false" customHeight="false" outlineLevel="0" collapsed="false">
      <c r="A10" s="18" t="s">
        <v>146</v>
      </c>
      <c r="B10" s="19" t="n">
        <f aca="false">SUMIFS(Purchases!$H$5:$H$24,Purchases!$B$5:$B$24,A10)</f>
        <v>19287000</v>
      </c>
      <c r="C10" s="20" t="n">
        <f aca="false">B10/Purchases!$H$25</f>
        <v>0.0378509707566073</v>
      </c>
      <c r="D10" s="18" t="n">
        <f aca="false">SUMIFS(Purchases!$G$5:$G$24,Purchases!$B$5:$B$24,A10)</f>
        <v>2</v>
      </c>
      <c r="E10" s="18" t="n">
        <f aca="false">COUNTIFS(Purchases!$B$5:$B$24,A10)</f>
        <v>3</v>
      </c>
      <c r="F10" s="33" t="n">
        <f aca="false">IFERROR(AVERAGEIFS(Purchases!$J$5:$J$24,Purchases!$B$5:$B$24,A10),"n/r")</f>
        <v>1</v>
      </c>
      <c r="G10" s="18" t="s">
        <v>142</v>
      </c>
    </row>
    <row r="11" customFormat="false" ht="15" hidden="false" customHeight="false" outlineLevel="0" collapsed="false">
      <c r="A11" s="18" t="s">
        <v>154</v>
      </c>
      <c r="B11" s="19" t="n">
        <f aca="false">SUMIFS(Purchases!$H$5:$H$24,Purchases!$B$5:$B$24,A11)</f>
        <v>18480000</v>
      </c>
      <c r="C11" s="20" t="n">
        <f aca="false">B11/Purchases!$H$25</f>
        <v>0.0362672234967648</v>
      </c>
      <c r="D11" s="18" t="n">
        <f aca="false">SUMIFS(Purchases!$G$5:$G$24,Purchases!$B$5:$B$24,A11)</f>
        <v>3</v>
      </c>
      <c r="E11" s="18" t="n">
        <f aca="false">COUNTIFS(Purchases!$B$5:$B$24,A11)</f>
        <v>1</v>
      </c>
      <c r="F11" s="33" t="n">
        <f aca="false">IFERROR(AVERAGEIFS(Purchases!$J$5:$J$24,Purchases!$B$5:$B$24,A11),"n/r")</f>
        <v>1</v>
      </c>
      <c r="G11" s="18" t="s">
        <v>135</v>
      </c>
    </row>
    <row r="12" customFormat="false" ht="15" hidden="false" customHeight="false" outlineLevel="0" collapsed="false">
      <c r="A12" s="18" t="s">
        <v>127</v>
      </c>
      <c r="B12" s="19" t="n">
        <f aca="false">SUMIFS(Purchases!$H$5:$H$24,Purchases!$B$5:$B$24,A12)</f>
        <v>7450000</v>
      </c>
      <c r="C12" s="20" t="n">
        <f aca="false">B12/Purchases!$H$25</f>
        <v>0.0146207151001568</v>
      </c>
      <c r="D12" s="18" t="n">
        <f aca="false">SUMIFS(Purchases!$G$5:$G$24,Purchases!$B$5:$B$24,A12)</f>
        <v>1</v>
      </c>
      <c r="E12" s="18" t="n">
        <f aca="false">COUNTIFS(Purchases!$B$5:$B$24,A12)</f>
        <v>2</v>
      </c>
      <c r="F12" s="33" t="n">
        <f aca="false">IFERROR(AVERAGEIFS(Purchases!$J$5:$J$24,Purchases!$B$5:$B$24,A12),"n/r")</f>
        <v>2.5</v>
      </c>
      <c r="G12" s="18" t="s">
        <v>128</v>
      </c>
    </row>
    <row r="13" customFormat="false" ht="15" hidden="false" customHeight="false" outlineLevel="0" collapsed="false">
      <c r="A13" s="18" t="s">
        <v>150</v>
      </c>
      <c r="B13" s="19" t="n">
        <f aca="false">SUMIFS(Purchases!$H$5:$H$24,Purchases!$B$5:$B$24,A13)</f>
        <v>5872000</v>
      </c>
      <c r="C13" s="20" t="n">
        <f aca="false">B13/Purchases!$H$25</f>
        <v>0.0115238710158551</v>
      </c>
      <c r="D13" s="18" t="n">
        <f aca="false">SUMIFS(Purchases!$G$5:$G$24,Purchases!$B$5:$B$24,A13)</f>
        <v>2</v>
      </c>
      <c r="E13" s="18" t="n">
        <f aca="false">COUNTIFS(Purchases!$B$5:$B$24,A13)</f>
        <v>2</v>
      </c>
      <c r="F13" s="33" t="n">
        <f aca="false">IFERROR(AVERAGEIFS(Purchases!$J$5:$J$24,Purchases!$B$5:$B$24,A13),"n/r")</f>
        <v>2.5</v>
      </c>
      <c r="G13" s="18" t="s">
        <v>142</v>
      </c>
    </row>
    <row r="14" customFormat="false" ht="15" hidden="false" customHeight="false" outlineLevel="0" collapsed="false">
      <c r="A14" s="18" t="s">
        <v>168</v>
      </c>
      <c r="B14" s="19" t="n">
        <f aca="false">SUMIFS(Purchases!$H$5:$H$24,Purchases!$B$5:$B$24,A14)</f>
        <v>4770000</v>
      </c>
      <c r="C14" s="20" t="n">
        <f aca="false">B14/Purchases!$H$25</f>
        <v>0.00936118268828832</v>
      </c>
      <c r="D14" s="18" t="n">
        <f aca="false">SUMIFS(Purchases!$G$5:$G$24,Purchases!$B$5:$B$24,A14)</f>
        <v>1</v>
      </c>
      <c r="E14" s="18" t="n">
        <f aca="false">COUNTIFS(Purchases!$B$5:$B$24,A14)</f>
        <v>1</v>
      </c>
      <c r="F14" s="33" t="n">
        <f aca="false">IFERROR(AVERAGEIFS(Purchases!$J$5:$J$24,Purchases!$B$5:$B$24,A14),"n/r")</f>
        <v>1</v>
      </c>
      <c r="G14" s="18" t="s">
        <v>135</v>
      </c>
    </row>
    <row r="15" customFormat="false" ht="15" hidden="false" customHeight="false" outlineLevel="0" collapsed="false">
      <c r="A15" s="18" t="s">
        <v>119</v>
      </c>
      <c r="B15" s="19" t="n">
        <f aca="false">SUMIFS(Purchases!$H$5:$H$24,Purchases!$B$5:$B$24,A15)</f>
        <v>4633000</v>
      </c>
      <c r="C15" s="20" t="n">
        <f aca="false">B15/Purchases!$H$25</f>
        <v>0.00909231853141295</v>
      </c>
      <c r="D15" s="18" t="n">
        <f aca="false">SUMIFS(Purchases!$G$5:$G$24,Purchases!$B$5:$B$24,A15)</f>
        <v>1</v>
      </c>
      <c r="E15" s="18" t="n">
        <f aca="false">COUNTIFS(Purchases!$B$5:$B$24,A15)</f>
        <v>1</v>
      </c>
      <c r="F15" s="33" t="n">
        <f aca="false">IFERROR(AVERAGEIFS(Purchases!$J$5:$J$24,Purchases!$B$5:$B$24,A15),"n/r")</f>
        <v>4</v>
      </c>
      <c r="G15" s="18" t="s">
        <v>121</v>
      </c>
    </row>
    <row r="16" customFormat="false" ht="15" hidden="false" customHeight="false" outlineLevel="0" collapsed="false">
      <c r="A16" s="18" t="s">
        <v>165</v>
      </c>
      <c r="B16" s="19" t="n">
        <f aca="false">SUMIFS(Purchases!$H$5:$H$24,Purchases!$B$5:$B$24,A16)</f>
        <v>831000</v>
      </c>
      <c r="C16" s="20" t="n">
        <f aca="false">B16/Purchases!$H$25</f>
        <v>0.00163084755009803</v>
      </c>
      <c r="D16" s="18" t="n">
        <f aca="false">SUMIFS(Purchases!$G$5:$G$24,Purchases!$B$5:$B$24,A16)</f>
        <v>1</v>
      </c>
      <c r="E16" s="18" t="n">
        <f aca="false">COUNTIFS(Purchases!$B$5:$B$24,A16)</f>
        <v>1</v>
      </c>
      <c r="F16" s="33" t="n">
        <f aca="false">IFERROR(AVERAGEIFS(Purchases!$J$5:$J$24,Purchases!$B$5:$B$24,A16),"n/r")</f>
        <v>9</v>
      </c>
      <c r="G16" s="18" t="s">
        <v>130</v>
      </c>
    </row>
    <row r="18" customFormat="false" ht="15" hidden="false" customHeight="false" outlineLevel="0" collapsed="false">
      <c r="A18" s="12" t="s">
        <v>311</v>
      </c>
      <c r="B18" s="13"/>
      <c r="C18" s="13"/>
      <c r="D18" s="13"/>
      <c r="E18" s="13"/>
      <c r="F18" s="13"/>
      <c r="G18" s="13"/>
    </row>
    <row r="19" customFormat="false" ht="23.85" hidden="false" customHeight="false" outlineLevel="0" collapsed="false">
      <c r="A19" s="5" t="s">
        <v>107</v>
      </c>
      <c r="B19" s="5" t="s">
        <v>70</v>
      </c>
      <c r="C19" s="5" t="s">
        <v>306</v>
      </c>
      <c r="D19" s="5" t="s">
        <v>308</v>
      </c>
      <c r="E19" s="5" t="s">
        <v>312</v>
      </c>
      <c r="F19" s="5" t="s">
        <v>313</v>
      </c>
      <c r="G19" s="5" t="s">
        <v>314</v>
      </c>
    </row>
    <row r="20" customFormat="false" ht="15" hidden="false" customHeight="false" outlineLevel="0" collapsed="false">
      <c r="A20" s="18" t="s">
        <v>134</v>
      </c>
      <c r="B20" s="19" t="n">
        <f aca="false">SUMIFS(Purchases!$H$5:$H$24,Purchases!$C$5:$C$24,A20)</f>
        <v>346300000</v>
      </c>
      <c r="C20" s="20" t="n">
        <f aca="false">B20/Purchases!$H$25</f>
        <v>0.679617938145544</v>
      </c>
      <c r="D20" s="18" t="n">
        <f aca="false">COUNTIFS(Purchases!$C$5:$C$24,A20)</f>
        <v>7</v>
      </c>
      <c r="E20" s="33" t="n">
        <f aca="false">IFERROR(AVERAGEIFS(Purchases!$J$5:$J$24,Purchases!$C$5:$C$24,A20),"n/r")</f>
        <v>1.14285714285714</v>
      </c>
      <c r="F20" s="18" t="n">
        <f aca="false">COUNTIFS(Purchases!$C$5:$C$24,A20,Purchases!$J$5:$J$24,1)</f>
        <v>6</v>
      </c>
      <c r="G20" s="18" t="n">
        <f aca="false">COUNTIFS(Purchases!$C$5:$C$24,A20,Purchases!$J$5:$J$24,"&gt;0")</f>
        <v>7</v>
      </c>
    </row>
    <row r="21" customFormat="false" ht="15" hidden="false" customHeight="false" outlineLevel="0" collapsed="false">
      <c r="A21" s="18" t="s">
        <v>141</v>
      </c>
      <c r="B21" s="19" t="n">
        <f aca="false">SUMIFS(Purchases!$H$5:$H$24,Purchases!$C$5:$C$24,A21)</f>
        <v>48399000</v>
      </c>
      <c r="C21" s="20" t="n">
        <f aca="false">B21/Purchases!$H$25</f>
        <v>0.0949836228365757</v>
      </c>
      <c r="D21" s="18" t="n">
        <f aca="false">COUNTIFS(Purchases!$C$5:$C$24,A21)</f>
        <v>4</v>
      </c>
      <c r="E21" s="33" t="str">
        <f aca="false">IFERROR(AVERAGEIFS(Purchases!$J$5:$J$24,Purchases!$C$5:$C$24,A21),"n/r")</f>
        <v>n/r</v>
      </c>
      <c r="F21" s="18" t="n">
        <f aca="false">COUNTIFS(Purchases!$C$5:$C$24,A21,Purchases!$J$5:$J$24,1)</f>
        <v>0</v>
      </c>
      <c r="G21" s="18" t="n">
        <f aca="false">COUNTIFS(Purchases!$C$5:$C$24,A21,Purchases!$J$5:$J$24,"&gt;0")</f>
        <v>0</v>
      </c>
    </row>
    <row r="22" customFormat="false" ht="15" hidden="false" customHeight="false" outlineLevel="0" collapsed="false">
      <c r="A22" s="18" t="s">
        <v>120</v>
      </c>
      <c r="B22" s="19" t="n">
        <f aca="false">SUMIFS(Purchases!$H$5:$H$24,Purchases!$C$5:$C$24,A22)</f>
        <v>114852000</v>
      </c>
      <c r="C22" s="20" t="n">
        <f aca="false">B22/Purchases!$H$25</f>
        <v>0.22539843901788</v>
      </c>
      <c r="D22" s="18" t="n">
        <f aca="false">COUNTIFS(Purchases!$C$5:$C$24,A22)</f>
        <v>9</v>
      </c>
      <c r="E22" s="33" t="n">
        <f aca="false">IFERROR(AVERAGEIFS(Purchases!$J$5:$J$24,Purchases!$C$5:$C$24,A22),"n/r")</f>
        <v>3.22222222222222</v>
      </c>
      <c r="F22" s="18" t="n">
        <f aca="false">COUNTIFS(Purchases!$C$5:$C$24,A22,Purchases!$J$5:$J$24,1)</f>
        <v>3</v>
      </c>
      <c r="G22" s="18" t="n">
        <f aca="false">COUNTIFS(Purchases!$C$5:$C$24,A22,Purchases!$J$5:$J$24,"&gt;0")</f>
        <v>9</v>
      </c>
    </row>
    <row r="23" customFormat="false" ht="15" hidden="false" customHeight="false" outlineLevel="0" collapsed="false">
      <c r="A23" s="25" t="s">
        <v>315</v>
      </c>
    </row>
    <row r="25" customFormat="false" ht="15" hidden="false" customHeight="false" outlineLevel="0" collapsed="false">
      <c r="A25" s="12" t="s">
        <v>316</v>
      </c>
      <c r="B25" s="13"/>
      <c r="C25" s="13"/>
      <c r="D25" s="13"/>
      <c r="E25" s="13"/>
      <c r="F25" s="13"/>
      <c r="G25" s="13"/>
    </row>
    <row r="26" customFormat="false" ht="23.85" hidden="false" customHeight="false" outlineLevel="0" collapsed="false">
      <c r="A26" s="5" t="s">
        <v>108</v>
      </c>
      <c r="B26" s="5" t="s">
        <v>70</v>
      </c>
      <c r="C26" s="5" t="s">
        <v>306</v>
      </c>
      <c r="D26" s="5" t="s">
        <v>317</v>
      </c>
      <c r="E26" s="5" t="s">
        <v>318</v>
      </c>
      <c r="F26" s="5" t="s">
        <v>319</v>
      </c>
    </row>
    <row r="27" customFormat="false" ht="15" hidden="false" customHeight="false" outlineLevel="0" collapsed="false">
      <c r="A27" s="18" t="s">
        <v>135</v>
      </c>
      <c r="B27" s="19" t="n">
        <f aca="false">SUMIFS(Purchases!$H$5:$H$24,Purchases!$D$5:$D$24,A27)</f>
        <v>346300000</v>
      </c>
      <c r="C27" s="20" t="n">
        <f aca="false">B27/Purchases!$H$25</f>
        <v>0.679617938145544</v>
      </c>
      <c r="D27" s="19" t="n">
        <f aca="false">SUMIFS(Purchases!$H$5:$H$24,Purchases!$D$5:$D$24,A27,Purchases!$B$5:$B$24,"&lt;&gt;CBP")</f>
        <v>23250000</v>
      </c>
      <c r="E27" s="20" t="n">
        <f aca="false">D27/SUMIFS(Purchases!$H$5:$H$24,Purchases!$B$5:$B$24,"&lt;&gt;CBP")</f>
        <v>0.124664210915759</v>
      </c>
      <c r="F27" s="18" t="s">
        <v>320</v>
      </c>
    </row>
    <row r="28" customFormat="false" ht="15" hidden="false" customHeight="false" outlineLevel="0" collapsed="false">
      <c r="A28" s="18" t="s">
        <v>142</v>
      </c>
      <c r="B28" s="19" t="n">
        <f aca="false">SUMIFS(Purchases!$H$5:$H$24,Purchases!$D$5:$D$24,A28)</f>
        <v>114331000</v>
      </c>
      <c r="C28" s="20" t="n">
        <f aca="false">B28/Purchases!$H$25</f>
        <v>0.224375970216916</v>
      </c>
      <c r="D28" s="19" t="n">
        <f aca="false">SUMIFS(Purchases!$H$5:$H$24,Purchases!$D$5:$D$24,A28,Purchases!$B$5:$B$24,"&lt;&gt;CBP")</f>
        <v>114331000</v>
      </c>
      <c r="E28" s="20" t="n">
        <f aca="false">D28/SUMIFS(Purchases!$H$5:$H$24,Purchases!$B$5:$B$24,"&lt;&gt;CBP")</f>
        <v>0.613031565514394</v>
      </c>
      <c r="F28" s="18" t="s">
        <v>321</v>
      </c>
    </row>
    <row r="29" customFormat="false" ht="15" hidden="false" customHeight="false" outlineLevel="0" collapsed="false">
      <c r="A29" s="18" t="s">
        <v>173</v>
      </c>
      <c r="B29" s="19" t="n">
        <f aca="false">SUMIFS(Purchases!$H$5:$H$24,Purchases!$D$5:$D$24,A29)</f>
        <v>36006000</v>
      </c>
      <c r="C29" s="20" t="n">
        <f aca="false">B29/Purchases!$H$25</f>
        <v>0.0706622104558719</v>
      </c>
      <c r="D29" s="19" t="n">
        <f aca="false">SUMIFS(Purchases!$H$5:$H$24,Purchases!$D$5:$D$24,A29,Purchases!$B$5:$B$24,"&lt;&gt;CBP")</f>
        <v>36006000</v>
      </c>
      <c r="E29" s="20" t="n">
        <f aca="false">D29/SUMIFS(Purchases!$H$5:$H$24,Purchases!$B$5:$B$24,"&lt;&gt;CBP")</f>
        <v>0.193060627020767</v>
      </c>
      <c r="F29" s="18" t="s">
        <v>321</v>
      </c>
    </row>
    <row r="30" customFormat="false" ht="15" hidden="false" customHeight="false" outlineLevel="0" collapsed="false">
      <c r="A30" s="18" t="s">
        <v>121</v>
      </c>
      <c r="B30" s="19" t="n">
        <f aca="false">SUMIFS(Purchases!$H$5:$H$24,Purchases!$D$5:$D$24,A30)</f>
        <v>4633000</v>
      </c>
      <c r="C30" s="20" t="n">
        <f aca="false">B30/Purchases!$H$25</f>
        <v>0.00909231853141295</v>
      </c>
      <c r="D30" s="19" t="n">
        <f aca="false">SUMIFS(Purchases!$H$5:$H$24,Purchases!$D$5:$D$24,A30,Purchases!$B$5:$B$24,"&lt;&gt;CBP")</f>
        <v>4633000</v>
      </c>
      <c r="E30" s="20" t="n">
        <f aca="false">D30/SUMIFS(Purchases!$H$5:$H$24,Purchases!$B$5:$B$24,"&lt;&gt;CBP")</f>
        <v>0.0248416898568908</v>
      </c>
      <c r="F30" s="18" t="s">
        <v>322</v>
      </c>
    </row>
    <row r="31" customFormat="false" ht="15" hidden="false" customHeight="false" outlineLevel="0" collapsed="false">
      <c r="A31" s="18" t="s">
        <v>128</v>
      </c>
      <c r="B31" s="19" t="n">
        <f aca="false">SUMIFS(Purchases!$H$5:$H$24,Purchases!$D$5:$D$24,A31)</f>
        <v>4600000</v>
      </c>
      <c r="C31" s="20" t="n">
        <f aca="false">B31/Purchases!$H$25</f>
        <v>0.00902755563231159</v>
      </c>
      <c r="D31" s="19" t="n">
        <f aca="false">SUMIFS(Purchases!$H$5:$H$24,Purchases!$D$5:$D$24,A31,Purchases!$B$5:$B$24,"&lt;&gt;CBP")</f>
        <v>4600000</v>
      </c>
      <c r="E31" s="20" t="n">
        <f aca="false">D31/SUMIFS(Purchases!$H$5:$H$24,Purchases!$B$5:$B$24,"&lt;&gt;CBP")</f>
        <v>0.0246647471059136</v>
      </c>
      <c r="F31" s="18" t="s">
        <v>322</v>
      </c>
    </row>
    <row r="32" customFormat="false" ht="15" hidden="false" customHeight="false" outlineLevel="0" collapsed="false">
      <c r="A32" s="18" t="s">
        <v>182</v>
      </c>
      <c r="B32" s="19" t="n">
        <f aca="false">SUMIFS(Purchases!$H$5:$H$24,Purchases!$D$5:$D$24,A32)</f>
        <v>2850000</v>
      </c>
      <c r="C32" s="20" t="n">
        <f aca="false">B32/Purchases!$H$25</f>
        <v>0.00559315946784522</v>
      </c>
      <c r="D32" s="19" t="n">
        <f aca="false">SUMIFS(Purchases!$H$5:$H$24,Purchases!$D$5:$D$24,A32,Purchases!$B$5:$B$24,"&lt;&gt;CBP")</f>
        <v>2850000</v>
      </c>
      <c r="E32" s="20" t="n">
        <f aca="false">D32/SUMIFS(Purchases!$H$5:$H$24,Purchases!$B$5:$B$24,"&lt;&gt;CBP")</f>
        <v>0.0152814194025769</v>
      </c>
      <c r="F32" s="18" t="s">
        <v>322</v>
      </c>
    </row>
    <row r="33" customFormat="false" ht="15" hidden="false" customHeight="false" outlineLevel="0" collapsed="false">
      <c r="A33" s="18" t="s">
        <v>130</v>
      </c>
      <c r="B33" s="19" t="n">
        <f aca="false">SUMIFS(Purchases!$H$5:$H$24,Purchases!$D$5:$D$24,A33)</f>
        <v>831000</v>
      </c>
      <c r="C33" s="20" t="n">
        <f aca="false">B33/Purchases!$H$25</f>
        <v>0.00163084755009803</v>
      </c>
      <c r="D33" s="19" t="n">
        <f aca="false">SUMIFS(Purchases!$H$5:$H$24,Purchases!$D$5:$D$24,A33,Purchases!$B$5:$B$24,"&lt;&gt;CBP")</f>
        <v>831000</v>
      </c>
      <c r="E33" s="20" t="n">
        <f aca="false">D33/SUMIFS(Purchases!$H$5:$H$24,Purchases!$B$5:$B$24,"&lt;&gt;CBP")</f>
        <v>0.00445574018369875</v>
      </c>
      <c r="F33" s="18" t="s">
        <v>322</v>
      </c>
    </row>
    <row r="36" customFormat="false" ht="15" hidden="false" customHeight="false" outlineLevel="0" collapsed="false">
      <c r="A36" s="12" t="s">
        <v>323</v>
      </c>
      <c r="B36" s="13"/>
      <c r="C36" s="13"/>
      <c r="D36" s="13"/>
      <c r="E36" s="13"/>
      <c r="F36" s="13"/>
      <c r="G36" s="13"/>
    </row>
    <row r="37" customFormat="false" ht="15" hidden="false" customHeight="false" outlineLevel="0" collapsed="false">
      <c r="A37" s="5" t="s">
        <v>324</v>
      </c>
      <c r="B37" s="5" t="s">
        <v>112</v>
      </c>
    </row>
    <row r="38" customFormat="false" ht="15" hidden="false" customHeight="false" outlineLevel="0" collapsed="false">
      <c r="A38" s="18" t="s">
        <v>325</v>
      </c>
      <c r="B38" s="21" t="n">
        <v>637667496.98</v>
      </c>
    </row>
    <row r="39" customFormat="false" ht="15" hidden="false" customHeight="false" outlineLevel="0" collapsed="false">
      <c r="A39" s="18" t="s">
        <v>326</v>
      </c>
      <c r="B39" s="21" t="n">
        <v>332312358.48</v>
      </c>
    </row>
    <row r="40" customFormat="false" ht="15" hidden="false" customHeight="false" outlineLevel="0" collapsed="false">
      <c r="A40" s="18" t="s">
        <v>327</v>
      </c>
      <c r="B40" s="21" t="n">
        <v>173200146.69</v>
      </c>
    </row>
    <row r="41" customFormat="false" ht="15" hidden="false" customHeight="false" outlineLevel="0" collapsed="false">
      <c r="A41" s="18" t="s">
        <v>328</v>
      </c>
      <c r="B41" s="21" t="n">
        <v>57982847</v>
      </c>
    </row>
    <row r="42" customFormat="false" ht="15" hidden="false" customHeight="false" outlineLevel="0" collapsed="false">
      <c r="A42" s="18" t="s">
        <v>329</v>
      </c>
      <c r="B42" s="21" t="n">
        <v>41878061.15</v>
      </c>
    </row>
    <row r="43" customFormat="false" ht="15" hidden="false" customHeight="false" outlineLevel="0" collapsed="false">
      <c r="A43" s="18" t="s">
        <v>330</v>
      </c>
      <c r="B43" s="21" t="n">
        <v>36260184.76</v>
      </c>
    </row>
    <row r="44" customFormat="false" ht="15" hidden="false" customHeight="false" outlineLevel="0" collapsed="false">
      <c r="A44" s="18" t="s">
        <v>331</v>
      </c>
      <c r="B44" s="21" t="n">
        <v>23266219.87</v>
      </c>
    </row>
    <row r="45" customFormat="false" ht="15" hidden="false" customHeight="false" outlineLevel="0" collapsed="false">
      <c r="A45" s="18" t="s">
        <v>332</v>
      </c>
      <c r="B45" s="21" t="n">
        <v>18867735.46</v>
      </c>
    </row>
    <row r="46" customFormat="false" ht="15" hidden="false" customHeight="false" outlineLevel="0" collapsed="false">
      <c r="A46" s="18" t="s">
        <v>333</v>
      </c>
      <c r="B46" s="21" t="n">
        <v>9713401.57</v>
      </c>
    </row>
    <row r="47" customFormat="false" ht="15" hidden="false" customHeight="false" outlineLevel="0" collapsed="false">
      <c r="A47" s="18" t="s">
        <v>334</v>
      </c>
      <c r="B47" s="21" t="n">
        <v>4663000</v>
      </c>
    </row>
    <row r="48" customFormat="false" ht="15" hidden="false" customHeight="false" outlineLevel="0" collapsed="false">
      <c r="A48" s="25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6" min="6" style="0" width="34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336</v>
      </c>
    </row>
    <row r="2" customFormat="false" ht="15" hidden="false" customHeight="false" outlineLevel="0" collapsed="false">
      <c r="A2" s="2" t="s">
        <v>337</v>
      </c>
    </row>
    <row r="4" customFormat="false" ht="15" hidden="false" customHeight="false" outlineLevel="0" collapsed="false">
      <c r="A4" s="5" t="s">
        <v>338</v>
      </c>
      <c r="B4" s="5" t="s">
        <v>339</v>
      </c>
      <c r="C4" s="5" t="s">
        <v>88</v>
      </c>
      <c r="D4" s="5" t="s">
        <v>112</v>
      </c>
      <c r="F4" s="5" t="s">
        <v>339</v>
      </c>
      <c r="G4" s="5" t="s">
        <v>340</v>
      </c>
      <c r="H4" s="5" t="s">
        <v>341</v>
      </c>
    </row>
    <row r="5" customFormat="false" ht="15" hidden="false" customHeight="false" outlineLevel="0" collapsed="false">
      <c r="A5" s="18" t="s">
        <v>340</v>
      </c>
      <c r="B5" s="18" t="s">
        <v>342</v>
      </c>
      <c r="C5" s="18" t="n">
        <v>2016</v>
      </c>
      <c r="D5" s="26" t="n">
        <v>567243.87</v>
      </c>
      <c r="F5" s="18" t="s">
        <v>343</v>
      </c>
      <c r="G5" s="19" t="n">
        <f aca="false">SUMIFS($D$5:$D$86,$A$5:$A$86,"Civilian",$B$5:$B$86,F5)</f>
        <v>568756517.61</v>
      </c>
      <c r="H5" s="19" t="n">
        <f aca="false">SUMIFS($D$5:$D$86,$A$5:$A$86,"DoD",$B$5:$B$86,F5)</f>
        <v>8102439546.98</v>
      </c>
    </row>
    <row r="6" customFormat="false" ht="15" hidden="false" customHeight="false" outlineLevel="0" collapsed="false">
      <c r="A6" s="18" t="s">
        <v>340</v>
      </c>
      <c r="B6" s="18" t="s">
        <v>342</v>
      </c>
      <c r="C6" s="18" t="n">
        <v>2017</v>
      </c>
      <c r="D6" s="26" t="n">
        <v>3194237.29</v>
      </c>
      <c r="F6" s="18" t="s">
        <v>344</v>
      </c>
      <c r="G6" s="19" t="n">
        <f aca="false">SUMIFS($D$5:$D$86,$A$5:$A$86,"Civilian",$B$5:$B$86,F6)</f>
        <v>365201162.55</v>
      </c>
      <c r="H6" s="19" t="n">
        <f aca="false">SUMIFS($D$5:$D$86,$A$5:$A$86,"DoD",$B$5:$B$86,F6)</f>
        <v>3713322754.7</v>
      </c>
    </row>
    <row r="7" customFormat="false" ht="15" hidden="false" customHeight="false" outlineLevel="0" collapsed="false">
      <c r="A7" s="18" t="s">
        <v>340</v>
      </c>
      <c r="B7" s="18" t="s">
        <v>342</v>
      </c>
      <c r="C7" s="18" t="n">
        <v>2018</v>
      </c>
      <c r="D7" s="26" t="n">
        <v>1795894.93</v>
      </c>
      <c r="F7" s="18" t="s">
        <v>342</v>
      </c>
      <c r="G7" s="19" t="n">
        <f aca="false">SUMIFS($D$5:$D$86,$A$5:$A$86,"Civilian",$B$5:$B$86,F7)</f>
        <v>158527223.81</v>
      </c>
      <c r="H7" s="19" t="n">
        <f aca="false">SUMIFS($D$5:$D$86,$A$5:$A$86,"DoD",$B$5:$B$86,F7)</f>
        <v>623735935.3</v>
      </c>
    </row>
    <row r="8" customFormat="false" ht="15" hidden="false" customHeight="false" outlineLevel="0" collapsed="false">
      <c r="A8" s="18" t="s">
        <v>340</v>
      </c>
      <c r="B8" s="18" t="s">
        <v>342</v>
      </c>
      <c r="C8" s="18" t="n">
        <v>2019</v>
      </c>
      <c r="D8" s="26" t="n">
        <v>4733344.08</v>
      </c>
      <c r="F8" s="18" t="s">
        <v>345</v>
      </c>
      <c r="G8" s="19" t="n">
        <f aca="false">SUMIFS($D$5:$D$86,$A$5:$A$86,"Civilian",$B$5:$B$86,F8)</f>
        <v>366276.83</v>
      </c>
      <c r="H8" s="19" t="n">
        <f aca="false">SUMIFS($D$5:$D$86,$A$5:$A$86,"DoD",$B$5:$B$86,F8)</f>
        <v>14287207.3</v>
      </c>
    </row>
    <row r="9" customFormat="false" ht="15" hidden="false" customHeight="false" outlineLevel="0" collapsed="false">
      <c r="A9" s="18" t="s">
        <v>340</v>
      </c>
      <c r="B9" s="18" t="s">
        <v>342</v>
      </c>
      <c r="C9" s="18" t="n">
        <v>2020</v>
      </c>
      <c r="D9" s="26" t="n">
        <v>5522875.98</v>
      </c>
      <c r="F9" s="22" t="s">
        <v>346</v>
      </c>
      <c r="G9" s="23" t="n">
        <f aca="false">SUM(G5:G8)</f>
        <v>1092851180.8</v>
      </c>
      <c r="H9" s="23" t="n">
        <f aca="false">SUM(H5:H8)</f>
        <v>12453785444.28</v>
      </c>
    </row>
    <row r="10" customFormat="false" ht="15" hidden="false" customHeight="false" outlineLevel="0" collapsed="false">
      <c r="A10" s="18" t="s">
        <v>340</v>
      </c>
      <c r="B10" s="18" t="s">
        <v>342</v>
      </c>
      <c r="C10" s="18" t="n">
        <v>2021</v>
      </c>
      <c r="D10" s="26" t="n">
        <v>129876686</v>
      </c>
      <c r="F10" s="18" t="s">
        <v>347</v>
      </c>
      <c r="G10" s="34" t="n">
        <f aca="false">Purchases!H25</f>
        <v>509551000</v>
      </c>
      <c r="H10" s="19"/>
    </row>
    <row r="11" customFormat="false" ht="15" hidden="false" customHeight="false" outlineLevel="0" collapsed="false">
      <c r="A11" s="18" t="s">
        <v>340</v>
      </c>
      <c r="B11" s="18" t="s">
        <v>342</v>
      </c>
      <c r="C11" s="18" t="n">
        <v>2022</v>
      </c>
      <c r="D11" s="26" t="n">
        <v>3908184.64</v>
      </c>
      <c r="F11" s="18" t="s">
        <v>42</v>
      </c>
      <c r="G11" s="20" t="n">
        <f aca="false">G10/(G9+G10)</f>
        <v>0.317991953646497</v>
      </c>
      <c r="H11" s="18"/>
    </row>
    <row r="12" customFormat="false" ht="15" hidden="false" customHeight="false" outlineLevel="0" collapsed="false">
      <c r="A12" s="18" t="s">
        <v>340</v>
      </c>
      <c r="B12" s="18" t="s">
        <v>342</v>
      </c>
      <c r="C12" s="18" t="n">
        <v>2023</v>
      </c>
      <c r="D12" s="26" t="n">
        <v>5050556.28</v>
      </c>
    </row>
    <row r="13" customFormat="false" ht="15" hidden="false" customHeight="false" outlineLevel="0" collapsed="false">
      <c r="A13" s="18" t="s">
        <v>340</v>
      </c>
      <c r="B13" s="18" t="s">
        <v>342</v>
      </c>
      <c r="C13" s="18" t="n">
        <v>2024</v>
      </c>
      <c r="D13" s="26" t="n">
        <v>1734767.15</v>
      </c>
      <c r="F13" s="25" t="s">
        <v>348</v>
      </c>
    </row>
    <row r="14" customFormat="false" ht="15" hidden="false" customHeight="false" outlineLevel="0" collapsed="false">
      <c r="A14" s="18" t="s">
        <v>340</v>
      </c>
      <c r="B14" s="18" t="s">
        <v>342</v>
      </c>
      <c r="C14" s="18" t="n">
        <v>2025</v>
      </c>
      <c r="D14" s="26" t="n">
        <v>869175.45</v>
      </c>
      <c r="F14" s="25" t="s">
        <v>349</v>
      </c>
    </row>
    <row r="15" customFormat="false" ht="15" hidden="false" customHeight="false" outlineLevel="0" collapsed="false">
      <c r="A15" s="18" t="s">
        <v>340</v>
      </c>
      <c r="B15" s="18" t="s">
        <v>342</v>
      </c>
      <c r="C15" s="18" t="n">
        <v>2026</v>
      </c>
      <c r="D15" s="26" t="n">
        <v>1274258.14</v>
      </c>
    </row>
    <row r="16" customFormat="false" ht="15" hidden="false" customHeight="false" outlineLevel="0" collapsed="false">
      <c r="A16" s="18" t="s">
        <v>340</v>
      </c>
      <c r="B16" s="18" t="s">
        <v>344</v>
      </c>
      <c r="C16" s="18" t="n">
        <v>2016</v>
      </c>
      <c r="D16" s="26" t="n">
        <v>11919496.1</v>
      </c>
    </row>
    <row r="17" customFormat="false" ht="15" hidden="false" customHeight="false" outlineLevel="0" collapsed="false">
      <c r="A17" s="18" t="s">
        <v>340</v>
      </c>
      <c r="B17" s="18" t="s">
        <v>344</v>
      </c>
      <c r="C17" s="18" t="n">
        <v>2017</v>
      </c>
      <c r="D17" s="26" t="n">
        <v>41371850.59</v>
      </c>
    </row>
    <row r="18" customFormat="false" ht="15" hidden="false" customHeight="false" outlineLevel="0" collapsed="false">
      <c r="A18" s="18" t="s">
        <v>340</v>
      </c>
      <c r="B18" s="18" t="s">
        <v>344</v>
      </c>
      <c r="C18" s="18" t="n">
        <v>2018</v>
      </c>
      <c r="D18" s="26" t="n">
        <v>38265400.98</v>
      </c>
    </row>
    <row r="19" customFormat="false" ht="15" hidden="false" customHeight="false" outlineLevel="0" collapsed="false">
      <c r="A19" s="18" t="s">
        <v>340</v>
      </c>
      <c r="B19" s="18" t="s">
        <v>344</v>
      </c>
      <c r="C19" s="18" t="n">
        <v>2019</v>
      </c>
      <c r="D19" s="26" t="n">
        <v>38623015.31</v>
      </c>
    </row>
    <row r="20" customFormat="false" ht="15" hidden="false" customHeight="false" outlineLevel="0" collapsed="false">
      <c r="A20" s="18" t="s">
        <v>340</v>
      </c>
      <c r="B20" s="18" t="s">
        <v>344</v>
      </c>
      <c r="C20" s="18" t="n">
        <v>2020</v>
      </c>
      <c r="D20" s="26" t="n">
        <v>41552027.96</v>
      </c>
    </row>
    <row r="21" customFormat="false" ht="15" hidden="false" customHeight="false" outlineLevel="0" collapsed="false">
      <c r="A21" s="18" t="s">
        <v>340</v>
      </c>
      <c r="B21" s="18" t="s">
        <v>344</v>
      </c>
      <c r="C21" s="18" t="n">
        <v>2021</v>
      </c>
      <c r="D21" s="26" t="n">
        <v>30481911.43</v>
      </c>
    </row>
    <row r="22" customFormat="false" ht="15" hidden="false" customHeight="false" outlineLevel="0" collapsed="false">
      <c r="A22" s="18" t="s">
        <v>340</v>
      </c>
      <c r="B22" s="18" t="s">
        <v>344</v>
      </c>
      <c r="C22" s="18" t="n">
        <v>2022</v>
      </c>
      <c r="D22" s="26" t="n">
        <v>37096667.2</v>
      </c>
    </row>
    <row r="23" customFormat="false" ht="15" hidden="false" customHeight="false" outlineLevel="0" collapsed="false">
      <c r="A23" s="18" t="s">
        <v>340</v>
      </c>
      <c r="B23" s="18" t="s">
        <v>344</v>
      </c>
      <c r="C23" s="18" t="n">
        <v>2023</v>
      </c>
      <c r="D23" s="26" t="n">
        <v>25192862.29</v>
      </c>
    </row>
    <row r="24" customFormat="false" ht="15" hidden="false" customHeight="false" outlineLevel="0" collapsed="false">
      <c r="A24" s="18" t="s">
        <v>340</v>
      </c>
      <c r="B24" s="18" t="s">
        <v>344</v>
      </c>
      <c r="C24" s="18" t="n">
        <v>2024</v>
      </c>
      <c r="D24" s="26" t="n">
        <v>32456381.52</v>
      </c>
    </row>
    <row r="25" customFormat="false" ht="15" hidden="false" customHeight="false" outlineLevel="0" collapsed="false">
      <c r="A25" s="18" t="s">
        <v>340</v>
      </c>
      <c r="B25" s="18" t="s">
        <v>344</v>
      </c>
      <c r="C25" s="18" t="n">
        <v>2025</v>
      </c>
      <c r="D25" s="26" t="n">
        <v>32208043.56</v>
      </c>
    </row>
    <row r="26" customFormat="false" ht="15" hidden="false" customHeight="false" outlineLevel="0" collapsed="false">
      <c r="A26" s="18" t="s">
        <v>340</v>
      </c>
      <c r="B26" s="18" t="s">
        <v>344</v>
      </c>
      <c r="C26" s="18" t="n">
        <v>2026</v>
      </c>
      <c r="D26" s="26" t="n">
        <v>36033505.61</v>
      </c>
    </row>
    <row r="27" customFormat="false" ht="15" hidden="false" customHeight="false" outlineLevel="0" collapsed="false">
      <c r="A27" s="18" t="s">
        <v>340</v>
      </c>
      <c r="B27" s="18" t="s">
        <v>345</v>
      </c>
      <c r="C27" s="18" t="n">
        <v>2016</v>
      </c>
      <c r="D27" s="26" t="n">
        <v>92850</v>
      </c>
    </row>
    <row r="28" customFormat="false" ht="15" hidden="false" customHeight="false" outlineLevel="0" collapsed="false">
      <c r="A28" s="18" t="s">
        <v>340</v>
      </c>
      <c r="B28" s="18" t="s">
        <v>345</v>
      </c>
      <c r="C28" s="18" t="n">
        <v>2017</v>
      </c>
      <c r="D28" s="26" t="n">
        <v>0</v>
      </c>
    </row>
    <row r="29" customFormat="false" ht="15" hidden="false" customHeight="false" outlineLevel="0" collapsed="false">
      <c r="A29" s="18" t="s">
        <v>340</v>
      </c>
      <c r="B29" s="18" t="s">
        <v>345</v>
      </c>
      <c r="C29" s="18" t="n">
        <v>2019</v>
      </c>
      <c r="D29" s="26" t="n">
        <v>298159.66</v>
      </c>
    </row>
    <row r="30" customFormat="false" ht="15" hidden="false" customHeight="false" outlineLevel="0" collapsed="false">
      <c r="A30" s="18" t="s">
        <v>340</v>
      </c>
      <c r="B30" s="18" t="s">
        <v>345</v>
      </c>
      <c r="C30" s="18" t="n">
        <v>2020</v>
      </c>
      <c r="D30" s="26" t="n">
        <v>12451.05</v>
      </c>
    </row>
    <row r="31" customFormat="false" ht="15" hidden="false" customHeight="false" outlineLevel="0" collapsed="false">
      <c r="A31" s="18" t="s">
        <v>340</v>
      </c>
      <c r="B31" s="18" t="s">
        <v>345</v>
      </c>
      <c r="C31" s="18" t="n">
        <v>2021</v>
      </c>
      <c r="D31" s="26" t="n">
        <v>-37183.88</v>
      </c>
    </row>
    <row r="32" customFormat="false" ht="15" hidden="false" customHeight="false" outlineLevel="0" collapsed="false">
      <c r="A32" s="18" t="s">
        <v>340</v>
      </c>
      <c r="B32" s="18" t="s">
        <v>345</v>
      </c>
      <c r="C32" s="18" t="n">
        <v>2025</v>
      </c>
      <c r="D32" s="26" t="n">
        <v>0</v>
      </c>
    </row>
    <row r="33" customFormat="false" ht="15" hidden="false" customHeight="false" outlineLevel="0" collapsed="false">
      <c r="A33" s="18" t="s">
        <v>340</v>
      </c>
      <c r="B33" s="18" t="s">
        <v>343</v>
      </c>
      <c r="C33" s="18" t="n">
        <v>2016</v>
      </c>
      <c r="D33" s="26" t="n">
        <v>28091685.05</v>
      </c>
    </row>
    <row r="34" customFormat="false" ht="15" hidden="false" customHeight="false" outlineLevel="0" collapsed="false">
      <c r="A34" s="18" t="s">
        <v>340</v>
      </c>
      <c r="B34" s="18" t="s">
        <v>343</v>
      </c>
      <c r="C34" s="18" t="n">
        <v>2017</v>
      </c>
      <c r="D34" s="26" t="n">
        <v>15867443.48</v>
      </c>
    </row>
    <row r="35" customFormat="false" ht="15" hidden="false" customHeight="false" outlineLevel="0" collapsed="false">
      <c r="A35" s="18" t="s">
        <v>340</v>
      </c>
      <c r="B35" s="18" t="s">
        <v>343</v>
      </c>
      <c r="C35" s="18" t="n">
        <v>2018</v>
      </c>
      <c r="D35" s="26" t="n">
        <v>23835170.1</v>
      </c>
    </row>
    <row r="36" customFormat="false" ht="15" hidden="false" customHeight="false" outlineLevel="0" collapsed="false">
      <c r="A36" s="18" t="s">
        <v>340</v>
      </c>
      <c r="B36" s="18" t="s">
        <v>343</v>
      </c>
      <c r="C36" s="18" t="n">
        <v>2019</v>
      </c>
      <c r="D36" s="26" t="n">
        <v>48566636.99</v>
      </c>
    </row>
    <row r="37" customFormat="false" ht="15" hidden="false" customHeight="false" outlineLevel="0" collapsed="false">
      <c r="A37" s="18" t="s">
        <v>340</v>
      </c>
      <c r="B37" s="18" t="s">
        <v>343</v>
      </c>
      <c r="C37" s="18" t="n">
        <v>2020</v>
      </c>
      <c r="D37" s="26" t="n">
        <v>46080651.22</v>
      </c>
    </row>
    <row r="38" customFormat="false" ht="15" hidden="false" customHeight="false" outlineLevel="0" collapsed="false">
      <c r="A38" s="18" t="s">
        <v>340</v>
      </c>
      <c r="B38" s="18" t="s">
        <v>343</v>
      </c>
      <c r="C38" s="18" t="n">
        <v>2021</v>
      </c>
      <c r="D38" s="26" t="n">
        <v>31421492.44</v>
      </c>
    </row>
    <row r="39" customFormat="false" ht="15" hidden="false" customHeight="false" outlineLevel="0" collapsed="false">
      <c r="A39" s="18" t="s">
        <v>340</v>
      </c>
      <c r="B39" s="18" t="s">
        <v>343</v>
      </c>
      <c r="C39" s="18" t="n">
        <v>2022</v>
      </c>
      <c r="D39" s="26" t="n">
        <v>49434591.59</v>
      </c>
    </row>
    <row r="40" customFormat="false" ht="15" hidden="false" customHeight="false" outlineLevel="0" collapsed="false">
      <c r="A40" s="18" t="s">
        <v>340</v>
      </c>
      <c r="B40" s="18" t="s">
        <v>343</v>
      </c>
      <c r="C40" s="18" t="n">
        <v>2023</v>
      </c>
      <c r="D40" s="26" t="n">
        <v>85824612.92</v>
      </c>
    </row>
    <row r="41" customFormat="false" ht="15" hidden="false" customHeight="false" outlineLevel="0" collapsed="false">
      <c r="A41" s="18" t="s">
        <v>340</v>
      </c>
      <c r="B41" s="18" t="s">
        <v>343</v>
      </c>
      <c r="C41" s="18" t="n">
        <v>2024</v>
      </c>
      <c r="D41" s="26" t="n">
        <v>73997106.42</v>
      </c>
    </row>
    <row r="42" customFormat="false" ht="15" hidden="false" customHeight="false" outlineLevel="0" collapsed="false">
      <c r="A42" s="18" t="s">
        <v>340</v>
      </c>
      <c r="B42" s="18" t="s">
        <v>343</v>
      </c>
      <c r="C42" s="18" t="n">
        <v>2025</v>
      </c>
      <c r="D42" s="26" t="n">
        <v>71989381.23</v>
      </c>
    </row>
    <row r="43" customFormat="false" ht="15" hidden="false" customHeight="false" outlineLevel="0" collapsed="false">
      <c r="A43" s="18" t="s">
        <v>340</v>
      </c>
      <c r="B43" s="18" t="s">
        <v>343</v>
      </c>
      <c r="C43" s="18" t="n">
        <v>2026</v>
      </c>
      <c r="D43" s="26" t="n">
        <v>93647746.17</v>
      </c>
    </row>
    <row r="44" customFormat="false" ht="15" hidden="false" customHeight="false" outlineLevel="0" collapsed="false">
      <c r="A44" s="18" t="s">
        <v>341</v>
      </c>
      <c r="B44" s="18" t="s">
        <v>342</v>
      </c>
      <c r="C44" s="18" t="n">
        <v>2016</v>
      </c>
      <c r="D44" s="26" t="n">
        <v>23804779.67</v>
      </c>
    </row>
    <row r="45" customFormat="false" ht="15" hidden="false" customHeight="false" outlineLevel="0" collapsed="false">
      <c r="A45" s="18" t="s">
        <v>341</v>
      </c>
      <c r="B45" s="18" t="s">
        <v>342</v>
      </c>
      <c r="C45" s="18" t="n">
        <v>2017</v>
      </c>
      <c r="D45" s="26" t="n">
        <v>43122153.02</v>
      </c>
    </row>
    <row r="46" customFormat="false" ht="15" hidden="false" customHeight="false" outlineLevel="0" collapsed="false">
      <c r="A46" s="18" t="s">
        <v>341</v>
      </c>
      <c r="B46" s="18" t="s">
        <v>342</v>
      </c>
      <c r="C46" s="18" t="n">
        <v>2018</v>
      </c>
      <c r="D46" s="26" t="n">
        <v>23282369.77</v>
      </c>
    </row>
    <row r="47" customFormat="false" ht="15" hidden="false" customHeight="false" outlineLevel="0" collapsed="false">
      <c r="A47" s="18" t="s">
        <v>341</v>
      </c>
      <c r="B47" s="18" t="s">
        <v>342</v>
      </c>
      <c r="C47" s="18" t="n">
        <v>2019</v>
      </c>
      <c r="D47" s="26" t="n">
        <v>41788952.21</v>
      </c>
    </row>
    <row r="48" customFormat="false" ht="15" hidden="false" customHeight="false" outlineLevel="0" collapsed="false">
      <c r="A48" s="18" t="s">
        <v>341</v>
      </c>
      <c r="B48" s="18" t="s">
        <v>342</v>
      </c>
      <c r="C48" s="18" t="n">
        <v>2020</v>
      </c>
      <c r="D48" s="26" t="n">
        <v>47970917.39</v>
      </c>
    </row>
    <row r="49" customFormat="false" ht="15" hidden="false" customHeight="false" outlineLevel="0" collapsed="false">
      <c r="A49" s="18" t="s">
        <v>341</v>
      </c>
      <c r="B49" s="18" t="s">
        <v>342</v>
      </c>
      <c r="C49" s="18" t="n">
        <v>2021</v>
      </c>
      <c r="D49" s="26" t="n">
        <v>67087746.36</v>
      </c>
    </row>
    <row r="50" customFormat="false" ht="15" hidden="false" customHeight="false" outlineLevel="0" collapsed="false">
      <c r="A50" s="18" t="s">
        <v>341</v>
      </c>
      <c r="B50" s="18" t="s">
        <v>342</v>
      </c>
      <c r="C50" s="18" t="n">
        <v>2022</v>
      </c>
      <c r="D50" s="26" t="n">
        <v>88511161.4</v>
      </c>
    </row>
    <row r="51" customFormat="false" ht="15" hidden="false" customHeight="false" outlineLevel="0" collapsed="false">
      <c r="A51" s="18" t="s">
        <v>341</v>
      </c>
      <c r="B51" s="18" t="s">
        <v>342</v>
      </c>
      <c r="C51" s="18" t="n">
        <v>2023</v>
      </c>
      <c r="D51" s="26" t="n">
        <v>97803149.72</v>
      </c>
    </row>
    <row r="52" customFormat="false" ht="15" hidden="false" customHeight="false" outlineLevel="0" collapsed="false">
      <c r="A52" s="18" t="s">
        <v>341</v>
      </c>
      <c r="B52" s="18" t="s">
        <v>342</v>
      </c>
      <c r="C52" s="18" t="n">
        <v>2024</v>
      </c>
      <c r="D52" s="26" t="n">
        <v>81857086.18</v>
      </c>
    </row>
    <row r="53" customFormat="false" ht="15" hidden="false" customHeight="false" outlineLevel="0" collapsed="false">
      <c r="A53" s="18" t="s">
        <v>341</v>
      </c>
      <c r="B53" s="18" t="s">
        <v>342</v>
      </c>
      <c r="C53" s="18" t="n">
        <v>2025</v>
      </c>
      <c r="D53" s="26" t="n">
        <v>73465859.14</v>
      </c>
    </row>
    <row r="54" customFormat="false" ht="15" hidden="false" customHeight="false" outlineLevel="0" collapsed="false">
      <c r="A54" s="18" t="s">
        <v>341</v>
      </c>
      <c r="B54" s="18" t="s">
        <v>342</v>
      </c>
      <c r="C54" s="18" t="n">
        <v>2026</v>
      </c>
      <c r="D54" s="26" t="n">
        <v>35041760.44</v>
      </c>
    </row>
    <row r="55" customFormat="false" ht="15" hidden="false" customHeight="false" outlineLevel="0" collapsed="false">
      <c r="A55" s="18" t="s">
        <v>341</v>
      </c>
      <c r="B55" s="18" t="s">
        <v>344</v>
      </c>
      <c r="C55" s="18" t="n">
        <v>2016</v>
      </c>
      <c r="D55" s="26" t="n">
        <v>38499971.59</v>
      </c>
    </row>
    <row r="56" customFormat="false" ht="15" hidden="false" customHeight="false" outlineLevel="0" collapsed="false">
      <c r="A56" s="18" t="s">
        <v>341</v>
      </c>
      <c r="B56" s="18" t="s">
        <v>344</v>
      </c>
      <c r="C56" s="18" t="n">
        <v>2017</v>
      </c>
      <c r="D56" s="26" t="n">
        <v>367591259.82</v>
      </c>
    </row>
    <row r="57" customFormat="false" ht="15" hidden="false" customHeight="false" outlineLevel="0" collapsed="false">
      <c r="A57" s="18" t="s">
        <v>341</v>
      </c>
      <c r="B57" s="18" t="s">
        <v>344</v>
      </c>
      <c r="C57" s="18" t="n">
        <v>2018</v>
      </c>
      <c r="D57" s="26" t="n">
        <v>354503299.2</v>
      </c>
    </row>
    <row r="58" customFormat="false" ht="15" hidden="false" customHeight="false" outlineLevel="0" collapsed="false">
      <c r="A58" s="18" t="s">
        <v>341</v>
      </c>
      <c r="B58" s="18" t="s">
        <v>344</v>
      </c>
      <c r="C58" s="18" t="n">
        <v>2019</v>
      </c>
      <c r="D58" s="26" t="n">
        <v>372661730.86</v>
      </c>
    </row>
    <row r="59" customFormat="false" ht="15" hidden="false" customHeight="false" outlineLevel="0" collapsed="false">
      <c r="A59" s="18" t="s">
        <v>341</v>
      </c>
      <c r="B59" s="18" t="s">
        <v>344</v>
      </c>
      <c r="C59" s="18" t="n">
        <v>2020</v>
      </c>
      <c r="D59" s="26" t="n">
        <v>410466781.43</v>
      </c>
    </row>
    <row r="60" customFormat="false" ht="15" hidden="false" customHeight="false" outlineLevel="0" collapsed="false">
      <c r="A60" s="18" t="s">
        <v>341</v>
      </c>
      <c r="B60" s="18" t="s">
        <v>344</v>
      </c>
      <c r="C60" s="18" t="n">
        <v>2021</v>
      </c>
      <c r="D60" s="26" t="n">
        <v>344809946.25</v>
      </c>
    </row>
    <row r="61" customFormat="false" ht="15" hidden="false" customHeight="false" outlineLevel="0" collapsed="false">
      <c r="A61" s="18" t="s">
        <v>341</v>
      </c>
      <c r="B61" s="18" t="s">
        <v>344</v>
      </c>
      <c r="C61" s="18" t="n">
        <v>2022</v>
      </c>
      <c r="D61" s="26" t="n">
        <v>258977462.59</v>
      </c>
    </row>
    <row r="62" customFormat="false" ht="15" hidden="false" customHeight="false" outlineLevel="0" collapsed="false">
      <c r="A62" s="18" t="s">
        <v>341</v>
      </c>
      <c r="B62" s="18" t="s">
        <v>344</v>
      </c>
      <c r="C62" s="18" t="n">
        <v>2023</v>
      </c>
      <c r="D62" s="26" t="n">
        <v>385000234.69</v>
      </c>
    </row>
    <row r="63" customFormat="false" ht="15" hidden="false" customHeight="false" outlineLevel="0" collapsed="false">
      <c r="A63" s="18" t="s">
        <v>341</v>
      </c>
      <c r="B63" s="18" t="s">
        <v>344</v>
      </c>
      <c r="C63" s="18" t="n">
        <v>2024</v>
      </c>
      <c r="D63" s="26" t="n">
        <v>400624903.73</v>
      </c>
    </row>
    <row r="64" customFormat="false" ht="15" hidden="false" customHeight="false" outlineLevel="0" collapsed="false">
      <c r="A64" s="18" t="s">
        <v>341</v>
      </c>
      <c r="B64" s="18" t="s">
        <v>344</v>
      </c>
      <c r="C64" s="18" t="n">
        <v>2025</v>
      </c>
      <c r="D64" s="26" t="n">
        <v>427183958.12</v>
      </c>
    </row>
    <row r="65" customFormat="false" ht="15" hidden="false" customHeight="false" outlineLevel="0" collapsed="false">
      <c r="A65" s="18" t="s">
        <v>341</v>
      </c>
      <c r="B65" s="18" t="s">
        <v>344</v>
      </c>
      <c r="C65" s="18" t="n">
        <v>2026</v>
      </c>
      <c r="D65" s="26" t="n">
        <v>353003206.42</v>
      </c>
    </row>
    <row r="66" customFormat="false" ht="15" hidden="false" customHeight="false" outlineLevel="0" collapsed="false">
      <c r="A66" s="18" t="s">
        <v>341</v>
      </c>
      <c r="B66" s="18" t="s">
        <v>345</v>
      </c>
      <c r="C66" s="18" t="n">
        <v>2016</v>
      </c>
      <c r="D66" s="26" t="n">
        <v>-492964.33</v>
      </c>
    </row>
    <row r="67" customFormat="false" ht="15" hidden="false" customHeight="false" outlineLevel="0" collapsed="false">
      <c r="A67" s="18" t="s">
        <v>341</v>
      </c>
      <c r="B67" s="18" t="s">
        <v>345</v>
      </c>
      <c r="C67" s="18" t="n">
        <v>2017</v>
      </c>
      <c r="D67" s="26" t="n">
        <v>-5160215.43</v>
      </c>
    </row>
    <row r="68" customFormat="false" ht="15" hidden="false" customHeight="false" outlineLevel="0" collapsed="false">
      <c r="A68" s="18" t="s">
        <v>341</v>
      </c>
      <c r="B68" s="18" t="s">
        <v>345</v>
      </c>
      <c r="C68" s="18" t="n">
        <v>2018</v>
      </c>
      <c r="D68" s="26" t="n">
        <v>-541315</v>
      </c>
    </row>
    <row r="69" customFormat="false" ht="15" hidden="false" customHeight="false" outlineLevel="0" collapsed="false">
      <c r="A69" s="18" t="s">
        <v>341</v>
      </c>
      <c r="B69" s="18" t="s">
        <v>345</v>
      </c>
      <c r="C69" s="18" t="n">
        <v>2019</v>
      </c>
      <c r="D69" s="26" t="n">
        <v>-762808.75</v>
      </c>
    </row>
    <row r="70" customFormat="false" ht="15" hidden="false" customHeight="false" outlineLevel="0" collapsed="false">
      <c r="A70" s="18" t="s">
        <v>341</v>
      </c>
      <c r="B70" s="18" t="s">
        <v>345</v>
      </c>
      <c r="C70" s="18" t="n">
        <v>2020</v>
      </c>
      <c r="D70" s="26" t="n">
        <v>-473776.32</v>
      </c>
    </row>
    <row r="71" customFormat="false" ht="15" hidden="false" customHeight="false" outlineLevel="0" collapsed="false">
      <c r="A71" s="18" t="s">
        <v>341</v>
      </c>
      <c r="B71" s="18" t="s">
        <v>345</v>
      </c>
      <c r="C71" s="18" t="n">
        <v>2021</v>
      </c>
      <c r="D71" s="26" t="n">
        <v>-1791492.37</v>
      </c>
    </row>
    <row r="72" customFormat="false" ht="15" hidden="false" customHeight="false" outlineLevel="0" collapsed="false">
      <c r="A72" s="18" t="s">
        <v>341</v>
      </c>
      <c r="B72" s="18" t="s">
        <v>345</v>
      </c>
      <c r="C72" s="18" t="n">
        <v>2022</v>
      </c>
      <c r="D72" s="26" t="n">
        <v>-93016.59</v>
      </c>
    </row>
    <row r="73" customFormat="false" ht="15" hidden="false" customHeight="false" outlineLevel="0" collapsed="false">
      <c r="A73" s="18" t="s">
        <v>341</v>
      </c>
      <c r="B73" s="18" t="s">
        <v>345</v>
      </c>
      <c r="C73" s="18" t="n">
        <v>2023</v>
      </c>
      <c r="D73" s="26" t="n">
        <v>1673547.3</v>
      </c>
    </row>
    <row r="74" customFormat="false" ht="15" hidden="false" customHeight="false" outlineLevel="0" collapsed="false">
      <c r="A74" s="18" t="s">
        <v>341</v>
      </c>
      <c r="B74" s="18" t="s">
        <v>345</v>
      </c>
      <c r="C74" s="18" t="n">
        <v>2024</v>
      </c>
      <c r="D74" s="26" t="n">
        <v>21909926.79</v>
      </c>
    </row>
    <row r="75" customFormat="false" ht="15" hidden="false" customHeight="false" outlineLevel="0" collapsed="false">
      <c r="A75" s="18" t="s">
        <v>341</v>
      </c>
      <c r="B75" s="18" t="s">
        <v>345</v>
      </c>
      <c r="C75" s="18" t="n">
        <v>2025</v>
      </c>
      <c r="D75" s="26" t="n">
        <v>19322</v>
      </c>
    </row>
    <row r="76" customFormat="false" ht="15" hidden="false" customHeight="false" outlineLevel="0" collapsed="false">
      <c r="A76" s="18" t="s">
        <v>341</v>
      </c>
      <c r="B76" s="18" t="s">
        <v>343</v>
      </c>
      <c r="C76" s="18" t="n">
        <v>2016</v>
      </c>
      <c r="D76" s="26" t="n">
        <v>399931013.41</v>
      </c>
    </row>
    <row r="77" customFormat="false" ht="15" hidden="false" customHeight="false" outlineLevel="0" collapsed="false">
      <c r="A77" s="18" t="s">
        <v>341</v>
      </c>
      <c r="B77" s="18" t="s">
        <v>343</v>
      </c>
      <c r="C77" s="18" t="n">
        <v>2017</v>
      </c>
      <c r="D77" s="26" t="n">
        <v>957643635.43</v>
      </c>
    </row>
    <row r="78" customFormat="false" ht="15" hidden="false" customHeight="false" outlineLevel="0" collapsed="false">
      <c r="A78" s="18" t="s">
        <v>341</v>
      </c>
      <c r="B78" s="18" t="s">
        <v>343</v>
      </c>
      <c r="C78" s="18" t="n">
        <v>2018</v>
      </c>
      <c r="D78" s="26" t="n">
        <v>1473216496.08</v>
      </c>
    </row>
    <row r="79" customFormat="false" ht="15" hidden="false" customHeight="false" outlineLevel="0" collapsed="false">
      <c r="A79" s="18" t="s">
        <v>341</v>
      </c>
      <c r="B79" s="18" t="s">
        <v>343</v>
      </c>
      <c r="C79" s="18" t="n">
        <v>2019</v>
      </c>
      <c r="D79" s="26" t="n">
        <v>1186003983.03</v>
      </c>
    </row>
    <row r="80" customFormat="false" ht="15" hidden="false" customHeight="false" outlineLevel="0" collapsed="false">
      <c r="A80" s="18" t="s">
        <v>341</v>
      </c>
      <c r="B80" s="18" t="s">
        <v>343</v>
      </c>
      <c r="C80" s="18" t="n">
        <v>2020</v>
      </c>
      <c r="D80" s="26" t="n">
        <v>994670955.98</v>
      </c>
    </row>
    <row r="81" customFormat="false" ht="15" hidden="false" customHeight="false" outlineLevel="0" collapsed="false">
      <c r="A81" s="18" t="s">
        <v>341</v>
      </c>
      <c r="B81" s="18" t="s">
        <v>343</v>
      </c>
      <c r="C81" s="18" t="n">
        <v>2021</v>
      </c>
      <c r="D81" s="26" t="n">
        <v>402615936.76</v>
      </c>
    </row>
    <row r="82" customFormat="false" ht="15" hidden="false" customHeight="false" outlineLevel="0" collapsed="false">
      <c r="A82" s="18" t="s">
        <v>341</v>
      </c>
      <c r="B82" s="18" t="s">
        <v>343</v>
      </c>
      <c r="C82" s="18" t="n">
        <v>2022</v>
      </c>
      <c r="D82" s="26" t="n">
        <v>467105784.58</v>
      </c>
    </row>
    <row r="83" customFormat="false" ht="15" hidden="false" customHeight="false" outlineLevel="0" collapsed="false">
      <c r="A83" s="18" t="s">
        <v>341</v>
      </c>
      <c r="B83" s="18" t="s">
        <v>343</v>
      </c>
      <c r="C83" s="18" t="n">
        <v>2023</v>
      </c>
      <c r="D83" s="26" t="n">
        <v>1081231382.53</v>
      </c>
    </row>
    <row r="84" customFormat="false" ht="15" hidden="false" customHeight="false" outlineLevel="0" collapsed="false">
      <c r="A84" s="18" t="s">
        <v>341</v>
      </c>
      <c r="B84" s="18" t="s">
        <v>343</v>
      </c>
      <c r="C84" s="18" t="n">
        <v>2024</v>
      </c>
      <c r="D84" s="26" t="n">
        <v>695970239.58</v>
      </c>
    </row>
    <row r="85" customFormat="false" ht="15" hidden="false" customHeight="false" outlineLevel="0" collapsed="false">
      <c r="A85" s="18" t="s">
        <v>341</v>
      </c>
      <c r="B85" s="18" t="s">
        <v>343</v>
      </c>
      <c r="C85" s="18" t="n">
        <v>2025</v>
      </c>
      <c r="D85" s="26" t="n">
        <v>272030542.02</v>
      </c>
    </row>
    <row r="86" customFormat="false" ht="15" hidden="false" customHeight="false" outlineLevel="0" collapsed="false">
      <c r="A86" s="18" t="s">
        <v>341</v>
      </c>
      <c r="B86" s="18" t="s">
        <v>343</v>
      </c>
      <c r="C86" s="18" t="n">
        <v>2026</v>
      </c>
      <c r="D86" s="26" t="n">
        <v>172019577.58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2" t="s">
        <v>351</v>
      </c>
    </row>
    <row r="3" customFormat="false" ht="15" hidden="false" customHeight="false" outlineLevel="0" collapsed="false">
      <c r="A3" s="5" t="s">
        <v>352</v>
      </c>
      <c r="B3" s="5"/>
      <c r="C3" s="5" t="s">
        <v>5</v>
      </c>
      <c r="D3" s="5" t="s">
        <v>6</v>
      </c>
    </row>
    <row r="4" customFormat="false" ht="15" hidden="false" customHeight="false" outlineLevel="0" collapsed="false">
      <c r="A4" s="18" t="s">
        <v>353</v>
      </c>
      <c r="B4" s="18"/>
      <c r="C4" s="19" t="n">
        <f aca="false">'Contract Sales'!I16/'Contract Sales'!I33</f>
        <v>26914779.0769231</v>
      </c>
      <c r="D4" s="18" t="s">
        <v>354</v>
      </c>
    </row>
    <row r="5" customFormat="false" ht="15" hidden="false" customHeight="false" outlineLevel="0" collapsed="false">
      <c r="A5" s="18" t="s">
        <v>355</v>
      </c>
      <c r="B5" s="18"/>
      <c r="C5" s="19" t="n">
        <f aca="false">('Contract Sales'!I16+'Contract Sales'!I28)/'Contract Sales'!I33</f>
        <v>34487144.4615385</v>
      </c>
      <c r="D5" s="18" t="s">
        <v>356</v>
      </c>
    </row>
    <row r="6" customFormat="false" ht="15" hidden="false" customHeight="false" outlineLevel="0" collapsed="false">
      <c r="A6" s="18" t="s">
        <v>357</v>
      </c>
      <c r="B6" s="18"/>
      <c r="C6" s="19" t="n">
        <f aca="false">AVERAGE(C4:C5)</f>
        <v>30700961.7692308</v>
      </c>
      <c r="D6" s="18" t="s">
        <v>358</v>
      </c>
    </row>
    <row r="7" customFormat="false" ht="15" hidden="false" customHeight="false" outlineLevel="0" collapsed="false">
      <c r="A7" s="18" t="s">
        <v>359</v>
      </c>
      <c r="B7" s="18"/>
      <c r="C7" s="19" t="n">
        <f aca="false">AVERAGE('Contract Sales'!I35,'Contract Sales'!I36)</f>
        <v>13542543</v>
      </c>
      <c r="D7" s="18" t="s">
        <v>360</v>
      </c>
    </row>
    <row r="8" customFormat="false" ht="15" hidden="false" customHeight="false" outlineLevel="0" collapsed="false">
      <c r="A8" s="18" t="s">
        <v>361</v>
      </c>
      <c r="B8" s="18"/>
      <c r="C8" s="35" t="n">
        <v>0.05</v>
      </c>
      <c r="D8" s="18" t="s">
        <v>362</v>
      </c>
    </row>
    <row r="9" customFormat="false" ht="15" hidden="false" customHeight="false" outlineLevel="0" collapsed="false">
      <c r="A9" s="18" t="s">
        <v>363</v>
      </c>
      <c r="B9" s="18"/>
      <c r="C9" s="36" t="n">
        <v>0.0075</v>
      </c>
      <c r="D9" s="18" t="s">
        <v>364</v>
      </c>
    </row>
    <row r="10" customFormat="false" ht="15" hidden="false" customHeight="false" outlineLevel="0" collapsed="false">
      <c r="A10" s="18" t="s">
        <v>365</v>
      </c>
      <c r="B10" s="18"/>
      <c r="C10" s="19" t="n">
        <f aca="false">SUMIFS(Purchases!$H$5:$H$24,Purchases!$D$5:$D$24,"Bell Textron")/11</f>
        <v>10393727.2727273</v>
      </c>
      <c r="D10" s="18" t="s">
        <v>366</v>
      </c>
    </row>
    <row r="11" customFormat="false" ht="15" hidden="false" customHeight="false" outlineLevel="0" collapsed="false">
      <c r="A11" s="18" t="s">
        <v>367</v>
      </c>
      <c r="B11" s="18"/>
      <c r="C11" s="35" t="n">
        <v>0.333333333333333</v>
      </c>
      <c r="D11" s="18" t="s">
        <v>368</v>
      </c>
    </row>
    <row r="12" customFormat="false" ht="15" hidden="false" customHeight="false" outlineLevel="0" collapsed="false">
      <c r="A12" s="18" t="s">
        <v>369</v>
      </c>
      <c r="B12" s="18"/>
      <c r="C12" s="37" t="n">
        <v>3</v>
      </c>
      <c r="D12" s="18" t="s">
        <v>352</v>
      </c>
    </row>
    <row r="14" customFormat="false" ht="15" hidden="false" customHeight="false" outlineLevel="0" collapsed="false">
      <c r="A14" s="12" t="s">
        <v>370</v>
      </c>
      <c r="B14" s="13"/>
      <c r="C14" s="13"/>
      <c r="D14" s="13"/>
      <c r="E14" s="13"/>
      <c r="F14" s="13"/>
      <c r="G14" s="13"/>
      <c r="H14" s="13"/>
      <c r="I14" s="13"/>
    </row>
    <row r="15" customFormat="false" ht="23.85" hidden="false" customHeight="false" outlineLevel="0" collapsed="false">
      <c r="A15" s="5" t="s">
        <v>371</v>
      </c>
      <c r="B15" s="5"/>
      <c r="C15" s="5" t="s">
        <v>274</v>
      </c>
      <c r="D15" s="5" t="s">
        <v>372</v>
      </c>
      <c r="E15" s="5" t="s">
        <v>373</v>
      </c>
      <c r="F15" s="5" t="s">
        <v>100</v>
      </c>
      <c r="G15" s="5" t="s">
        <v>374</v>
      </c>
      <c r="H15" s="5" t="s">
        <v>375</v>
      </c>
      <c r="I15" s="5" t="s">
        <v>376</v>
      </c>
    </row>
    <row r="16" customFormat="false" ht="15" hidden="false" customHeight="false" outlineLevel="0" collapsed="false">
      <c r="A16" s="18" t="n">
        <v>1</v>
      </c>
      <c r="B16" s="18"/>
      <c r="C16" s="19" t="n">
        <f aca="false">$C$6*(1+$C$8)^(A16-1)</f>
        <v>30700961.7692308</v>
      </c>
      <c r="D16" s="19" t="n">
        <f aca="false">$C$7*(1+$C$8)^(A16-1)</f>
        <v>13542543</v>
      </c>
      <c r="E16" s="19" t="n">
        <f aca="false">IF(A16&gt;=$C$12,$C$10*$C$11*(1+$C$8)^(A16-1),0)</f>
        <v>0</v>
      </c>
      <c r="F16" s="19" t="n">
        <f aca="false">SUM(C16:E16)</f>
        <v>44243504.7692308</v>
      </c>
      <c r="G16" s="26" t="n">
        <f aca="false">F16*$C$9</f>
        <v>331826.285769231</v>
      </c>
      <c r="H16" s="21" t="n">
        <v>50000000</v>
      </c>
      <c r="I16" s="30" t="n">
        <v>375000</v>
      </c>
    </row>
    <row r="17" customFormat="false" ht="15" hidden="false" customHeight="false" outlineLevel="0" collapsed="false">
      <c r="A17" s="18" t="n">
        <v>2</v>
      </c>
      <c r="B17" s="18"/>
      <c r="C17" s="19" t="n">
        <f aca="false">$C$6*(1+$C$8)^(A17-1)</f>
        <v>32236009.8576923</v>
      </c>
      <c r="D17" s="19" t="n">
        <f aca="false">$C$7*(1+$C$8)^(A17-1)</f>
        <v>14219670.15</v>
      </c>
      <c r="E17" s="19" t="n">
        <f aca="false">IF(A17&gt;=$C$12,$C$10*$C$11*(1+$C$8)^(A17-1),0)</f>
        <v>0</v>
      </c>
      <c r="F17" s="19" t="n">
        <f aca="false">SUM(C17:E17)</f>
        <v>46455680.0076923</v>
      </c>
      <c r="G17" s="26" t="n">
        <f aca="false">F17*$C$9</f>
        <v>348417.600057692</v>
      </c>
      <c r="H17" s="21" t="n">
        <v>66500000</v>
      </c>
      <c r="I17" s="30" t="n">
        <v>498750</v>
      </c>
    </row>
    <row r="18" customFormat="false" ht="15" hidden="false" customHeight="false" outlineLevel="0" collapsed="false">
      <c r="A18" s="18" t="n">
        <v>3</v>
      </c>
      <c r="B18" s="18"/>
      <c r="C18" s="19" t="n">
        <f aca="false">$C$6*(1+$C$8)^(A18-1)</f>
        <v>33847810.3505769</v>
      </c>
      <c r="D18" s="19" t="n">
        <f aca="false">$C$7*(1+$C$8)^(A18-1)</f>
        <v>14930653.6575</v>
      </c>
      <c r="E18" s="19" t="n">
        <f aca="false">IF(A18&gt;=$C$12,$C$10*$C$11*(1+$C$8)^(A18-1),0)</f>
        <v>3819694.77272727</v>
      </c>
      <c r="F18" s="19" t="n">
        <f aca="false">SUM(C18:E18)</f>
        <v>52598158.7808042</v>
      </c>
      <c r="G18" s="26" t="n">
        <f aca="false">F18*$C$9</f>
        <v>394486.190856031</v>
      </c>
      <c r="H18" s="21" t="n">
        <v>78349500</v>
      </c>
      <c r="I18" s="30" t="n">
        <v>587621</v>
      </c>
    </row>
    <row r="19" customFormat="false" ht="15" hidden="false" customHeight="false" outlineLevel="0" collapsed="false">
      <c r="A19" s="18" t="n">
        <v>4</v>
      </c>
      <c r="B19" s="18"/>
      <c r="C19" s="19" t="n">
        <f aca="false">$C$6*(1+$C$8)^(A19-1)</f>
        <v>35540200.8681058</v>
      </c>
      <c r="D19" s="19" t="n">
        <f aca="false">$C$7*(1+$C$8)^(A19-1)</f>
        <v>15677186.340375</v>
      </c>
      <c r="E19" s="19" t="n">
        <f aca="false">IF(A19&gt;=$C$12,$C$10*$C$11*(1+$C$8)^(A19-1),0)</f>
        <v>4010679.51136364</v>
      </c>
      <c r="F19" s="19" t="n">
        <f aca="false">SUM(C19:E19)</f>
        <v>55228066.7198444</v>
      </c>
      <c r="G19" s="26" t="n">
        <f aca="false">F19*$C$9</f>
        <v>414210.500398833</v>
      </c>
      <c r="H19" s="21" t="n">
        <v>90563620</v>
      </c>
      <c r="I19" s="30" t="n">
        <v>679227</v>
      </c>
    </row>
    <row r="20" customFormat="false" ht="15" hidden="false" customHeight="false" outlineLevel="0" collapsed="false">
      <c r="A20" s="18" t="n">
        <v>5</v>
      </c>
      <c r="B20" s="18"/>
      <c r="C20" s="19" t="n">
        <f aca="false">$C$6*(1+$C$8)^(A20-1)</f>
        <v>37317210.9115111</v>
      </c>
      <c r="D20" s="19" t="n">
        <f aca="false">$C$7*(1+$C$8)^(A20-1)</f>
        <v>16461045.6573938</v>
      </c>
      <c r="E20" s="19" t="n">
        <f aca="false">IF(A20&gt;=$C$12,$C$10*$C$11*(1+$C$8)^(A20-1),0)</f>
        <v>4211213.48693182</v>
      </c>
      <c r="F20" s="19" t="n">
        <f aca="false">SUM(C20:E20)</f>
        <v>57989470.0558366</v>
      </c>
      <c r="G20" s="26" t="n">
        <f aca="false">F20*$C$9</f>
        <v>434921.025418775</v>
      </c>
      <c r="H20" s="21" t="n">
        <v>103158073</v>
      </c>
      <c r="I20" s="30" t="n">
        <v>773686</v>
      </c>
    </row>
    <row r="21" customFormat="false" ht="15" hidden="false" customHeight="false" outlineLevel="0" collapsed="false">
      <c r="A21" s="22" t="s">
        <v>377</v>
      </c>
      <c r="B21" s="22"/>
      <c r="C21" s="23" t="n">
        <f aca="false">SUM(C16:C20)</f>
        <v>169642193.757117</v>
      </c>
      <c r="D21" s="23" t="n">
        <f aca="false">SUM(D16:D20)</f>
        <v>74831098.8052688</v>
      </c>
      <c r="E21" s="23" t="n">
        <f aca="false">SUM(E16:E20)</f>
        <v>12041587.7710227</v>
      </c>
      <c r="F21" s="23" t="n">
        <f aca="false">SUM(F16:F20)</f>
        <v>256514880.333408</v>
      </c>
      <c r="G21" s="27" t="n">
        <f aca="false">SUM(G16:G20)</f>
        <v>1923861.60250056</v>
      </c>
      <c r="H21" s="23" t="n">
        <f aca="false">SUM(H16:H20)</f>
        <v>388571193</v>
      </c>
      <c r="I21" s="27" t="n">
        <f aca="false">SUM(I16:I20)</f>
        <v>2914284</v>
      </c>
    </row>
    <row r="22" customFormat="false" ht="15" hidden="false" customHeight="false" outlineLevel="0" collapsed="false">
      <c r="A22" s="0" t="s">
        <v>378</v>
      </c>
      <c r="F22" s="38" t="n">
        <f aca="false">F21/H21</f>
        <v>0.660148989308655</v>
      </c>
    </row>
    <row r="24" customFormat="false" ht="15" hidden="false" customHeight="false" outlineLevel="0" collapsed="false">
      <c r="A24" s="25" t="s">
        <v>379</v>
      </c>
    </row>
    <row r="25" customFormat="false" ht="15" hidden="false" customHeight="false" outlineLevel="0" collapsed="false">
      <c r="A25" s="25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381</v>
      </c>
    </row>
    <row r="3" customFormat="false" ht="15" hidden="false" customHeight="false" outlineLevel="0" collapsed="false">
      <c r="A3" s="5" t="s">
        <v>382</v>
      </c>
      <c r="B3" s="5" t="s">
        <v>383</v>
      </c>
      <c r="C3" s="5" t="s">
        <v>384</v>
      </c>
      <c r="D3" s="5" t="s">
        <v>385</v>
      </c>
      <c r="E3" s="5" t="s">
        <v>386</v>
      </c>
    </row>
    <row r="4" customFormat="false" ht="23.85" hidden="false" customHeight="false" outlineLevel="0" collapsed="false">
      <c r="A4" s="6" t="s">
        <v>387</v>
      </c>
      <c r="B4" s="6" t="s">
        <v>388</v>
      </c>
      <c r="C4" s="39" t="s">
        <v>389</v>
      </c>
      <c r="D4" s="6" t="s">
        <v>390</v>
      </c>
      <c r="E4" s="6" t="s">
        <v>391</v>
      </c>
    </row>
    <row r="5" customFormat="false" ht="23.85" hidden="false" customHeight="false" outlineLevel="0" collapsed="false">
      <c r="A5" s="6" t="s">
        <v>387</v>
      </c>
      <c r="B5" s="6" t="s">
        <v>392</v>
      </c>
      <c r="C5" s="39" t="s">
        <v>389</v>
      </c>
      <c r="D5" s="6" t="s">
        <v>393</v>
      </c>
      <c r="E5" s="6" t="s">
        <v>76</v>
      </c>
    </row>
    <row r="6" customFormat="false" ht="23.85" hidden="false" customHeight="false" outlineLevel="0" collapsed="false">
      <c r="A6" s="6" t="s">
        <v>387</v>
      </c>
      <c r="B6" s="6" t="s">
        <v>394</v>
      </c>
      <c r="C6" s="40" t="s">
        <v>395</v>
      </c>
      <c r="D6" s="6" t="s">
        <v>396</v>
      </c>
      <c r="E6" s="6" t="s">
        <v>70</v>
      </c>
    </row>
    <row r="7" customFormat="false" ht="23.85" hidden="false" customHeight="false" outlineLevel="0" collapsed="false">
      <c r="A7" s="6" t="s">
        <v>387</v>
      </c>
      <c r="B7" s="6" t="s">
        <v>397</v>
      </c>
      <c r="C7" s="40" t="s">
        <v>395</v>
      </c>
      <c r="D7" s="6" t="s">
        <v>398</v>
      </c>
      <c r="E7" s="6" t="s">
        <v>74</v>
      </c>
    </row>
    <row r="8" customFormat="false" ht="23.85" hidden="false" customHeight="false" outlineLevel="0" collapsed="false">
      <c r="A8" s="6" t="s">
        <v>387</v>
      </c>
      <c r="B8" s="6" t="s">
        <v>399</v>
      </c>
      <c r="C8" s="41" t="s">
        <v>400</v>
      </c>
      <c r="D8" s="6" t="s">
        <v>401</v>
      </c>
      <c r="E8" s="6" t="s">
        <v>72</v>
      </c>
    </row>
    <row r="9" customFormat="false" ht="23.85" hidden="false" customHeight="false" outlineLevel="0" collapsed="false">
      <c r="A9" s="6" t="s">
        <v>387</v>
      </c>
      <c r="B9" s="6" t="s">
        <v>402</v>
      </c>
      <c r="C9" s="41" t="s">
        <v>400</v>
      </c>
      <c r="D9" s="6" t="s">
        <v>403</v>
      </c>
      <c r="E9" s="6" t="s">
        <v>72</v>
      </c>
    </row>
    <row r="10" customFormat="false" ht="23.85" hidden="false" customHeight="false" outlineLevel="0" collapsed="false">
      <c r="A10" s="6" t="s">
        <v>387</v>
      </c>
      <c r="B10" s="6" t="s">
        <v>404</v>
      </c>
      <c r="C10" s="42" t="s">
        <v>405</v>
      </c>
      <c r="D10" s="6" t="s">
        <v>406</v>
      </c>
      <c r="E10" s="6" t="s">
        <v>72</v>
      </c>
    </row>
    <row r="11" customFormat="false" ht="23.85" hidden="false" customHeight="false" outlineLevel="0" collapsed="false">
      <c r="A11" s="6" t="s">
        <v>407</v>
      </c>
      <c r="B11" s="6" t="s">
        <v>408</v>
      </c>
      <c r="C11" s="40" t="s">
        <v>395</v>
      </c>
      <c r="D11" s="6" t="s">
        <v>409</v>
      </c>
      <c r="E11" s="6" t="s">
        <v>74</v>
      </c>
    </row>
    <row r="12" customFormat="false" ht="23.85" hidden="false" customHeight="false" outlineLevel="0" collapsed="false">
      <c r="A12" s="6" t="s">
        <v>407</v>
      </c>
      <c r="B12" s="6" t="s">
        <v>410</v>
      </c>
      <c r="C12" s="40" t="s">
        <v>395</v>
      </c>
      <c r="D12" s="6" t="s">
        <v>411</v>
      </c>
      <c r="E12" s="6" t="s">
        <v>72</v>
      </c>
    </row>
    <row r="13" customFormat="false" ht="15" hidden="false" customHeight="false" outlineLevel="0" collapsed="false">
      <c r="A13" s="6" t="s">
        <v>407</v>
      </c>
      <c r="B13" s="6" t="s">
        <v>412</v>
      </c>
      <c r="C13" s="40" t="s">
        <v>395</v>
      </c>
      <c r="D13" s="6" t="s">
        <v>413</v>
      </c>
      <c r="E13" s="6" t="s">
        <v>68</v>
      </c>
    </row>
    <row r="14" customFormat="false" ht="15" hidden="false" customHeight="false" outlineLevel="0" collapsed="false">
      <c r="A14" s="6" t="s">
        <v>407</v>
      </c>
      <c r="B14" s="6" t="s">
        <v>414</v>
      </c>
      <c r="C14" s="40" t="s">
        <v>395</v>
      </c>
      <c r="D14" s="6" t="s">
        <v>415</v>
      </c>
      <c r="E14" s="6" t="s">
        <v>76</v>
      </c>
    </row>
    <row r="15" customFormat="false" ht="15" hidden="false" customHeight="false" outlineLevel="0" collapsed="false">
      <c r="A15" s="6" t="s">
        <v>407</v>
      </c>
      <c r="B15" s="6" t="s">
        <v>416</v>
      </c>
      <c r="C15" s="39" t="s">
        <v>389</v>
      </c>
      <c r="D15" s="6" t="s">
        <v>417</v>
      </c>
      <c r="E15" s="6" t="s">
        <v>80</v>
      </c>
    </row>
    <row r="16" customFormat="false" ht="23.85" hidden="false" customHeight="false" outlineLevel="0" collapsed="false">
      <c r="A16" s="6" t="s">
        <v>407</v>
      </c>
      <c r="B16" s="6" t="s">
        <v>418</v>
      </c>
      <c r="C16" s="40" t="s">
        <v>395</v>
      </c>
      <c r="D16" s="6" t="s">
        <v>419</v>
      </c>
      <c r="E16" s="6" t="s">
        <v>80</v>
      </c>
    </row>
    <row r="17" customFormat="false" ht="15" hidden="false" customHeight="false" outlineLevel="0" collapsed="false">
      <c r="A17" s="6" t="s">
        <v>407</v>
      </c>
      <c r="B17" s="6" t="s">
        <v>420</v>
      </c>
      <c r="C17" s="42" t="s">
        <v>421</v>
      </c>
      <c r="D17" s="6" t="s">
        <v>422</v>
      </c>
      <c r="E17" s="6" t="s">
        <v>72</v>
      </c>
    </row>
    <row r="18" customFormat="false" ht="23.85" hidden="false" customHeight="false" outlineLevel="0" collapsed="false">
      <c r="A18" s="6" t="s">
        <v>423</v>
      </c>
      <c r="B18" s="6" t="s">
        <v>424</v>
      </c>
      <c r="C18" s="40" t="s">
        <v>425</v>
      </c>
      <c r="D18" s="6" t="s">
        <v>426</v>
      </c>
      <c r="E18" s="6" t="s">
        <v>72</v>
      </c>
    </row>
    <row r="19" customFormat="false" ht="15" hidden="false" customHeight="false" outlineLevel="0" collapsed="false">
      <c r="A19" s="6" t="s">
        <v>407</v>
      </c>
      <c r="B19" s="6" t="s">
        <v>427</v>
      </c>
      <c r="C19" s="39" t="s">
        <v>389</v>
      </c>
      <c r="D19" s="6" t="s">
        <v>428</v>
      </c>
      <c r="E19" s="6" t="s">
        <v>72</v>
      </c>
    </row>
    <row r="20" customFormat="false" ht="23.85" hidden="false" customHeight="false" outlineLevel="0" collapsed="false">
      <c r="A20" s="6" t="s">
        <v>429</v>
      </c>
      <c r="B20" s="6" t="s">
        <v>430</v>
      </c>
      <c r="C20" s="40" t="s">
        <v>395</v>
      </c>
      <c r="D20" s="6" t="s">
        <v>431</v>
      </c>
      <c r="E20" s="6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65"/>
  </cols>
  <sheetData>
    <row r="1" customFormat="false" ht="17.35" hidden="false" customHeight="false" outlineLevel="0" collapsed="false">
      <c r="A1" s="1" t="s">
        <v>432</v>
      </c>
    </row>
    <row r="3" customFormat="false" ht="15" hidden="false" customHeight="false" outlineLevel="0" collapsed="false">
      <c r="A3" s="5" t="s">
        <v>433</v>
      </c>
      <c r="B3" s="5" t="s">
        <v>434</v>
      </c>
      <c r="C3" s="5" t="s">
        <v>435</v>
      </c>
    </row>
    <row r="4" customFormat="false" ht="23.85" hidden="false" customHeight="false" outlineLevel="0" collapsed="false">
      <c r="A4" s="6" t="s">
        <v>436</v>
      </c>
      <c r="B4" s="6" t="s">
        <v>437</v>
      </c>
      <c r="C4" s="6" t="s">
        <v>438</v>
      </c>
    </row>
    <row r="5" customFormat="false" ht="23.85" hidden="false" customHeight="false" outlineLevel="0" collapsed="false">
      <c r="A5" s="6" t="s">
        <v>439</v>
      </c>
      <c r="B5" s="6" t="s">
        <v>440</v>
      </c>
      <c r="C5" s="6" t="s">
        <v>441</v>
      </c>
    </row>
    <row r="6" customFormat="false" ht="15" hidden="false" customHeight="false" outlineLevel="0" collapsed="false">
      <c r="A6" s="6" t="s">
        <v>442</v>
      </c>
      <c r="B6" s="6" t="s">
        <v>443</v>
      </c>
      <c r="C6" s="6" t="s">
        <v>444</v>
      </c>
    </row>
    <row r="7" customFormat="false" ht="15" hidden="false" customHeight="false" outlineLevel="0" collapsed="false">
      <c r="A7" s="6" t="s">
        <v>445</v>
      </c>
      <c r="B7" s="6" t="s">
        <v>446</v>
      </c>
      <c r="C7" s="6" t="s">
        <v>447</v>
      </c>
    </row>
    <row r="8" customFormat="false" ht="15" hidden="false" customHeight="false" outlineLevel="0" collapsed="false">
      <c r="A8" s="6" t="s">
        <v>448</v>
      </c>
      <c r="B8" s="6" t="s">
        <v>449</v>
      </c>
      <c r="C8" s="6" t="s">
        <v>450</v>
      </c>
    </row>
    <row r="9" customFormat="false" ht="15" hidden="false" customHeight="false" outlineLevel="0" collapsed="false">
      <c r="A9" s="6" t="s">
        <v>451</v>
      </c>
      <c r="B9" s="6" t="s">
        <v>452</v>
      </c>
      <c r="C9" s="6" t="s">
        <v>453</v>
      </c>
    </row>
    <row r="12" customFormat="false" ht="15" hidden="false" customHeight="false" outlineLevel="0" collapsed="false">
      <c r="A12" s="12" t="s">
        <v>454</v>
      </c>
      <c r="B12" s="13"/>
      <c r="C12" s="13"/>
    </row>
    <row r="13" customFormat="false" ht="27.75" hidden="false" customHeight="true" outlineLevel="0" collapsed="false">
      <c r="A13" s="14" t="s">
        <v>455</v>
      </c>
      <c r="B13" s="14"/>
      <c r="C13" s="14"/>
    </row>
    <row r="14" customFormat="false" ht="27.75" hidden="false" customHeight="true" outlineLevel="0" collapsed="false">
      <c r="A14" s="14" t="s">
        <v>456</v>
      </c>
      <c r="B14" s="14"/>
      <c r="C14" s="14"/>
    </row>
    <row r="15" customFormat="false" ht="27.75" hidden="false" customHeight="true" outlineLevel="0" collapsed="false">
      <c r="A15" s="14" t="s">
        <v>457</v>
      </c>
      <c r="B15" s="14"/>
      <c r="C15" s="14"/>
    </row>
    <row r="16" customFormat="false" ht="27.75" hidden="false" customHeight="true" outlineLevel="0" collapsed="false">
      <c r="A16" s="14" t="s">
        <v>458</v>
      </c>
      <c r="B16" s="14"/>
      <c r="C16" s="14"/>
    </row>
    <row r="17" customFormat="false" ht="27.75" hidden="false" customHeight="true" outlineLevel="0" collapsed="false">
      <c r="A17" s="14" t="s">
        <v>459</v>
      </c>
      <c r="B17" s="14"/>
      <c r="C17" s="14"/>
    </row>
    <row r="18" customFormat="false" ht="27.75" hidden="false" customHeight="true" outlineLevel="0" collapsed="false">
      <c r="A18" s="14" t="s">
        <v>460</v>
      </c>
      <c r="B18" s="14"/>
      <c r="C18" s="14"/>
    </row>
    <row r="19" customFormat="false" ht="27.75" hidden="false" customHeight="true" outlineLevel="0" collapsed="false">
      <c r="A19" s="14" t="s">
        <v>461</v>
      </c>
      <c r="B19" s="14"/>
      <c r="C19" s="14"/>
    </row>
    <row r="21" customFormat="false" ht="15" hidden="false" customHeight="false" outlineLevel="0" collapsed="false">
      <c r="A21" s="12" t="s">
        <v>462</v>
      </c>
      <c r="B21" s="13"/>
      <c r="C21" s="13"/>
    </row>
    <row r="22" customFormat="false" ht="15" hidden="false" customHeight="false" outlineLevel="0" collapsed="false">
      <c r="A22" s="16" t="s">
        <v>463</v>
      </c>
      <c r="B22" s="16"/>
      <c r="C22" s="16"/>
    </row>
    <row r="23" customFormat="false" ht="15" hidden="false" customHeight="false" outlineLevel="0" collapsed="false">
      <c r="A23" s="16" t="s">
        <v>464</v>
      </c>
      <c r="B23" s="16"/>
      <c r="C23" s="16"/>
    </row>
    <row r="24" customFormat="false" ht="15" hidden="false" customHeight="false" outlineLevel="0" collapsed="false">
      <c r="A24" s="16" t="s">
        <v>465</v>
      </c>
      <c r="B24" s="16"/>
      <c r="C24" s="16"/>
    </row>
    <row r="25" customFormat="false" ht="15" hidden="false" customHeight="false" outlineLevel="0" collapsed="false">
      <c r="A25" s="16" t="s">
        <v>466</v>
      </c>
      <c r="B25" s="16"/>
      <c r="C25" s="16"/>
    </row>
    <row r="26" customFormat="false" ht="15" hidden="false" customHeight="false" outlineLevel="0" collapsed="false">
      <c r="A26" s="16" t="s">
        <v>467</v>
      </c>
      <c r="B26" s="16"/>
      <c r="C26" s="16"/>
    </row>
    <row r="27" customFormat="false" ht="15" hidden="false" customHeight="false" outlineLevel="0" collapsed="false">
      <c r="A27" s="16" t="s">
        <v>468</v>
      </c>
      <c r="B27" s="16"/>
      <c r="C27" s="16"/>
    </row>
    <row r="28" customFormat="false" ht="15" hidden="false" customHeight="false" outlineLevel="0" collapsed="false">
      <c r="A28" s="16" t="s">
        <v>469</v>
      </c>
      <c r="B28" s="16"/>
      <c r="C28" s="16"/>
    </row>
    <row r="29" customFormat="false" ht="15" hidden="false" customHeight="false" outlineLevel="0" collapsed="false">
      <c r="A29" s="16" t="s">
        <v>470</v>
      </c>
      <c r="B29" s="16"/>
      <c r="C29" s="16"/>
    </row>
    <row r="30" customFormat="false" ht="15" hidden="false" customHeight="false" outlineLevel="0" collapsed="false">
      <c r="A30" s="16" t="s">
        <v>471</v>
      </c>
      <c r="B30" s="16"/>
      <c r="C30" s="16"/>
    </row>
    <row r="31" customFormat="false" ht="15" hidden="false" customHeight="false" outlineLevel="0" collapsed="false">
      <c r="A31" s="16" t="s">
        <v>472</v>
      </c>
      <c r="B31" s="16"/>
      <c r="C31" s="16"/>
    </row>
    <row r="32" customFormat="false" ht="15" hidden="false" customHeight="false" outlineLevel="0" collapsed="false">
      <c r="A32" s="16" t="s">
        <v>473</v>
      </c>
      <c r="B32" s="16"/>
      <c r="C32" s="16"/>
    </row>
    <row r="33" customFormat="false" ht="15" hidden="false" customHeight="false" outlineLevel="0" collapsed="false">
      <c r="A33" s="16" t="s">
        <v>474</v>
      </c>
      <c r="B33" s="16"/>
      <c r="C33" s="16"/>
    </row>
    <row r="34" customFormat="false" ht="15" hidden="false" customHeight="false" outlineLevel="0" collapsed="false">
      <c r="A34" s="16" t="s">
        <v>475</v>
      </c>
      <c r="B34" s="16"/>
      <c r="C34" s="16"/>
    </row>
  </sheetData>
  <mergeCells count="20">
    <mergeCell ref="A13:C13"/>
    <mergeCell ref="A14:C14"/>
    <mergeCell ref="A15:C15"/>
    <mergeCell ref="A16:C16"/>
    <mergeCell ref="A17:C17"/>
    <mergeCell ref="A18:C18"/>
    <mergeCell ref="A19:C19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2026-10-19T22:19:36Z</dcterms:created>
  <dc:creator>openpyxl</dc:creator>
  <dc:description/>
  <dc:language>en-US</dc:language>
  <cp:lastModifiedBy/>
  <dcterms:modified xsi:type="dcterms:W3CDTF">2026-10-19T22:19:41Z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